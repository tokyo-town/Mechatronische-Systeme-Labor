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_TU\Master Automatisierung und Robotische Systeme\Mechatronische Systeme Labor\AFM\"/>
    </mc:Choice>
  </mc:AlternateContent>
  <xr:revisionPtr revIDLastSave="0" documentId="13_ncr:1_{33900008-23B6-41C6-9BA1-7C672CF30FDF}" xr6:coauthVersionLast="47" xr6:coauthVersionMax="47" xr10:uidLastSave="{00000000-0000-0000-0000-000000000000}"/>
  <bookViews>
    <workbookView xWindow="-120" yWindow="-120" windowWidth="29040" windowHeight="15840" xr2:uid="{B84AB7BC-A147-41D7-A40F-EB74A04C07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5" i="1" l="1"/>
  <c r="M125" i="1"/>
  <c r="N47" i="1"/>
  <c r="M46" i="1"/>
  <c r="M47" i="1"/>
  <c r="AE46" i="1"/>
  <c r="AD46" i="1"/>
  <c r="N124" i="1"/>
  <c r="M124" i="1"/>
  <c r="N46" i="1"/>
  <c r="J57" i="1"/>
  <c r="J49" i="1"/>
  <c r="J51" i="1" l="1"/>
  <c r="I148" i="1"/>
  <c r="I149" i="1"/>
  <c r="I150" i="1"/>
  <c r="I151" i="1"/>
  <c r="I152" i="1"/>
  <c r="I147" i="1"/>
  <c r="L147" i="1" s="1"/>
  <c r="J152" i="1"/>
  <c r="J151" i="1"/>
  <c r="J150" i="1"/>
  <c r="J149" i="1"/>
  <c r="J148" i="1"/>
  <c r="L148" i="1" s="1"/>
  <c r="J147" i="1"/>
  <c r="J144" i="1"/>
  <c r="J140" i="1"/>
  <c r="J139" i="1"/>
  <c r="J138" i="1"/>
  <c r="J137" i="1"/>
  <c r="J136" i="1"/>
  <c r="J132" i="1"/>
  <c r="J131" i="1"/>
  <c r="J130" i="1"/>
  <c r="J129" i="1"/>
  <c r="J128" i="1"/>
  <c r="K118" i="1"/>
  <c r="K119" i="1"/>
  <c r="K120" i="1"/>
  <c r="K121" i="1"/>
  <c r="K122" i="1"/>
  <c r="K117" i="1"/>
  <c r="J118" i="1"/>
  <c r="J119" i="1"/>
  <c r="J120" i="1"/>
  <c r="J121" i="1"/>
  <c r="J122" i="1"/>
  <c r="J117" i="1"/>
  <c r="I118" i="1"/>
  <c r="I119" i="1"/>
  <c r="I120" i="1"/>
  <c r="I121" i="1"/>
  <c r="I122" i="1"/>
  <c r="I117" i="1"/>
  <c r="H123" i="1"/>
  <c r="G123" i="1"/>
  <c r="F123" i="1"/>
  <c r="M26" i="1"/>
  <c r="M27" i="1"/>
  <c r="M28" i="1"/>
  <c r="M29" i="1"/>
  <c r="M30" i="1"/>
  <c r="M31" i="1"/>
  <c r="L27" i="1"/>
  <c r="L28" i="1"/>
  <c r="L29" i="1"/>
  <c r="L30" i="1"/>
  <c r="L31" i="1"/>
  <c r="L26" i="1"/>
  <c r="Z70" i="1"/>
  <c r="Z71" i="1"/>
  <c r="Z72" i="1"/>
  <c r="Z73" i="1"/>
  <c r="Z74" i="1"/>
  <c r="Z69" i="1"/>
  <c r="AA74" i="1"/>
  <c r="AA73" i="1"/>
  <c r="AA72" i="1"/>
  <c r="AC72" i="1"/>
  <c r="AA71" i="1"/>
  <c r="AC71" i="1" s="1"/>
  <c r="AA70" i="1"/>
  <c r="AC70" i="1"/>
  <c r="AA69" i="1"/>
  <c r="AA66" i="1"/>
  <c r="M45" i="1"/>
  <c r="N45" i="1"/>
  <c r="AD45" i="1"/>
  <c r="AE45" i="1"/>
  <c r="AK45" i="1"/>
  <c r="AI44" i="1"/>
  <c r="AH44" i="1"/>
  <c r="AI43" i="1"/>
  <c r="AH43" i="1"/>
  <c r="AI42" i="1"/>
  <c r="AH42" i="1"/>
  <c r="AI41" i="1"/>
  <c r="AH41" i="1"/>
  <c r="AI40" i="1"/>
  <c r="AH40" i="1"/>
  <c r="R40" i="1"/>
  <c r="R41" i="1"/>
  <c r="R42" i="1"/>
  <c r="R43" i="1"/>
  <c r="R44" i="1"/>
  <c r="Q41" i="1"/>
  <c r="Q42" i="1"/>
  <c r="Q43" i="1"/>
  <c r="Q44" i="1"/>
  <c r="Q40" i="1"/>
  <c r="N40" i="1"/>
  <c r="AA48" i="1"/>
  <c r="AB44" i="1"/>
  <c r="AB43" i="1"/>
  <c r="AB42" i="1"/>
  <c r="AB41" i="1"/>
  <c r="AB40" i="1"/>
  <c r="AB39" i="1"/>
  <c r="AA44" i="1"/>
  <c r="AA43" i="1"/>
  <c r="AA42" i="1"/>
  <c r="AA59" i="1" s="1"/>
  <c r="AA41" i="1"/>
  <c r="AA58" i="1" s="1"/>
  <c r="AA40" i="1"/>
  <c r="AA39" i="1"/>
  <c r="AA56" i="1" s="1"/>
  <c r="Z40" i="1"/>
  <c r="AA49" i="1" s="1"/>
  <c r="Z41" i="1"/>
  <c r="AA50" i="1" s="1"/>
  <c r="Z42" i="1"/>
  <c r="AA51" i="1" s="1"/>
  <c r="Z43" i="1"/>
  <c r="AA52" i="1" s="1"/>
  <c r="Z44" i="1"/>
  <c r="AD44" i="1" s="1"/>
  <c r="Z39" i="1"/>
  <c r="K40" i="1"/>
  <c r="J70" i="1" s="1"/>
  <c r="K41" i="1"/>
  <c r="J71" i="1" s="1"/>
  <c r="K42" i="1"/>
  <c r="J72" i="1" s="1"/>
  <c r="K43" i="1"/>
  <c r="J73" i="1" s="1"/>
  <c r="K44" i="1"/>
  <c r="J74" i="1" s="1"/>
  <c r="K39" i="1"/>
  <c r="J69" i="1" s="1"/>
  <c r="H45" i="1"/>
  <c r="J40" i="1"/>
  <c r="J58" i="1" s="1"/>
  <c r="J41" i="1"/>
  <c r="J59" i="1" s="1"/>
  <c r="J42" i="1"/>
  <c r="J60" i="1" s="1"/>
  <c r="J43" i="1"/>
  <c r="J61" i="1" s="1"/>
  <c r="J44" i="1"/>
  <c r="J62" i="1" s="1"/>
  <c r="J39" i="1"/>
  <c r="I40" i="1"/>
  <c r="J50" i="1" s="1"/>
  <c r="I41" i="1"/>
  <c r="I42" i="1"/>
  <c r="J52" i="1" s="1"/>
  <c r="I43" i="1"/>
  <c r="J53" i="1" s="1"/>
  <c r="I44" i="1"/>
  <c r="J54" i="1" s="1"/>
  <c r="I39" i="1"/>
  <c r="M40" i="1" s="1"/>
  <c r="F45" i="1"/>
  <c r="G45" i="1"/>
  <c r="E27" i="1"/>
  <c r="D3" i="1"/>
  <c r="D27" i="1"/>
  <c r="T45" i="1" l="1"/>
  <c r="I73" i="1" s="1"/>
  <c r="L149" i="1"/>
  <c r="L150" i="1"/>
  <c r="L151" i="1"/>
  <c r="L152" i="1"/>
  <c r="M122" i="1"/>
  <c r="Q122" i="1" s="1"/>
  <c r="M121" i="1"/>
  <c r="Q121" i="1" s="1"/>
  <c r="M120" i="1"/>
  <c r="Q120" i="1" s="1"/>
  <c r="M119" i="1"/>
  <c r="Q119" i="1" s="1"/>
  <c r="M118" i="1"/>
  <c r="N122" i="1"/>
  <c r="R122" i="1" s="1"/>
  <c r="N121" i="1"/>
  <c r="R121" i="1" s="1"/>
  <c r="N120" i="1"/>
  <c r="R120" i="1" s="1"/>
  <c r="N118" i="1"/>
  <c r="R118" i="1" s="1"/>
  <c r="N119" i="1"/>
  <c r="R119" i="1" s="1"/>
  <c r="AC73" i="1"/>
  <c r="AC74" i="1"/>
  <c r="AC69" i="1"/>
  <c r="AD43" i="1"/>
  <c r="AD41" i="1"/>
  <c r="AD42" i="1"/>
  <c r="AA53" i="1"/>
  <c r="AD40" i="1"/>
  <c r="N44" i="1"/>
  <c r="N43" i="1"/>
  <c r="N42" i="1"/>
  <c r="N41" i="1"/>
  <c r="M43" i="1"/>
  <c r="M42" i="1"/>
  <c r="M44" i="1"/>
  <c r="M41" i="1"/>
  <c r="AE43" i="1"/>
  <c r="AE40" i="1"/>
  <c r="AE44" i="1"/>
  <c r="AE42" i="1"/>
  <c r="AA60" i="1"/>
  <c r="AE41" i="1"/>
  <c r="AA57" i="1"/>
  <c r="AA61" i="1"/>
  <c r="I72" i="1" l="1"/>
  <c r="I74" i="1"/>
  <c r="L74" i="1" s="1"/>
  <c r="I69" i="1"/>
  <c r="L69" i="1" s="1"/>
  <c r="I71" i="1"/>
  <c r="L71" i="1" s="1"/>
  <c r="J66" i="1"/>
  <c r="I70" i="1"/>
  <c r="L70" i="1" s="1"/>
  <c r="M123" i="1"/>
  <c r="Q118" i="1"/>
  <c r="T123" i="1" s="1"/>
  <c r="N123" i="1"/>
  <c r="L73" i="1"/>
  <c r="L72" i="1"/>
</calcChain>
</file>

<file path=xl/sharedStrings.xml><?xml version="1.0" encoding="utf-8"?>
<sst xmlns="http://schemas.openxmlformats.org/spreadsheetml/2006/main" count="124" uniqueCount="85">
  <si>
    <t>V</t>
  </si>
  <si>
    <t>height</t>
  </si>
  <si>
    <t>Rail height</t>
  </si>
  <si>
    <t>scope_0</t>
  </si>
  <si>
    <t>sticky</t>
  </si>
  <si>
    <t>scope_1</t>
  </si>
  <si>
    <t>non-sticky</t>
  </si>
  <si>
    <t>4.</t>
  </si>
  <si>
    <t>2.</t>
  </si>
  <si>
    <t>3.</t>
  </si>
  <si>
    <t>Matlab plot</t>
  </si>
  <si>
    <t>230k</t>
  </si>
  <si>
    <t>48,2k</t>
  </si>
  <si>
    <t>226k</t>
  </si>
  <si>
    <t>orange</t>
  </si>
  <si>
    <t>SetPoint</t>
  </si>
  <si>
    <t>grün anschluss</t>
  </si>
  <si>
    <t>Sensor output</t>
  </si>
  <si>
    <t xml:space="preserve">weiß </t>
  </si>
  <si>
    <t>controller output</t>
  </si>
  <si>
    <t>rot anschluss</t>
  </si>
  <si>
    <t>V+</t>
  </si>
  <si>
    <t>schwarz anschluss</t>
  </si>
  <si>
    <t>V-</t>
  </si>
  <si>
    <t>GND</t>
  </si>
  <si>
    <t>blau anschluss</t>
  </si>
  <si>
    <t>1/RC=</t>
  </si>
  <si>
    <t>6.</t>
  </si>
  <si>
    <t>7.</t>
  </si>
  <si>
    <t>scope_3</t>
  </si>
  <si>
    <t>100um</t>
  </si>
  <si>
    <t>scope_4</t>
  </si>
  <si>
    <t>250um</t>
  </si>
  <si>
    <t>scope_5</t>
  </si>
  <si>
    <t>???</t>
  </si>
  <si>
    <t>8.</t>
  </si>
  <si>
    <t>scope_6</t>
  </si>
  <si>
    <t>250 schnell</t>
  </si>
  <si>
    <t>scope_7</t>
  </si>
  <si>
    <t>100 schnell</t>
  </si>
  <si>
    <t>scope_8</t>
  </si>
  <si>
    <t>??? Schnell</t>
  </si>
  <si>
    <t>9.</t>
  </si>
  <si>
    <t>matlab</t>
  </si>
  <si>
    <t>10.</t>
  </si>
  <si>
    <t>res freq</t>
  </si>
  <si>
    <t>20.4 Hz</t>
  </si>
  <si>
    <t>scope_9</t>
  </si>
  <si>
    <t>scope_10</t>
  </si>
  <si>
    <t>scope_11</t>
  </si>
  <si>
    <t>non sticky</t>
  </si>
  <si>
    <t>phase</t>
  </si>
  <si>
    <t>6.5°</t>
  </si>
  <si>
    <t>-24.5°</t>
  </si>
  <si>
    <t>11.</t>
  </si>
  <si>
    <t>Phase</t>
  </si>
  <si>
    <t>10mVpp</t>
  </si>
  <si>
    <t>step 6 mV</t>
  </si>
  <si>
    <t>lowpass</t>
  </si>
  <si>
    <t>14 Hz</t>
  </si>
  <si>
    <t>13.</t>
  </si>
  <si>
    <t>185°</t>
  </si>
  <si>
    <t>scope_12</t>
  </si>
  <si>
    <t>scope_13</t>
  </si>
  <si>
    <t>scope_14</t>
  </si>
  <si>
    <t>avg height</t>
  </si>
  <si>
    <t>1/2piRC=</t>
  </si>
  <si>
    <t>step</t>
  </si>
  <si>
    <t>100 µm</t>
  </si>
  <si>
    <t>250 µm</t>
  </si>
  <si>
    <t>Average</t>
  </si>
  <si>
    <t>readout</t>
  </si>
  <si>
    <t>avg</t>
  </si>
  <si>
    <t>norm</t>
  </si>
  <si>
    <t>delta (100 µm)</t>
  </si>
  <si>
    <t>weighted</t>
  </si>
  <si>
    <t>weights</t>
  </si>
  <si>
    <t>w avg</t>
  </si>
  <si>
    <t>slow scan</t>
  </si>
  <si>
    <t>fast scan</t>
  </si>
  <si>
    <t>assumed height</t>
  </si>
  <si>
    <t>pos</t>
  </si>
  <si>
    <t>stddev</t>
  </si>
  <si>
    <t>stddev (fast+slow)</t>
  </si>
  <si>
    <t>stddev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</si>
</sst>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quotePrefix="1"/>
    <xf numFmtId="1" fontId="0" fillId="0" borderId="0" xfId="0" applyNumberFormat="1"/>
    <xf numFmtId="17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Measured</a:t>
            </a:r>
            <a:r>
              <a:rPr lang="en-US" b="1" baseline="0"/>
              <a:t> Cantilever H</a:t>
            </a:r>
            <a:r>
              <a:rPr lang="en-US" b="1"/>
              <a:t>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9852817876932051E-2"/>
          <c:y val="0.16484444444444443"/>
          <c:w val="0.86831847841936427"/>
          <c:h val="0.53649588801399828"/>
        </c:manualLayout>
      </c:layout>
      <c:lineChart>
        <c:grouping val="standard"/>
        <c:varyColors val="0"/>
        <c:ser>
          <c:idx val="1"/>
          <c:order val="0"/>
          <c:tx>
            <c:strRef>
              <c:f>Tabelle1!$B$2</c:f>
              <c:strCache>
                <c:ptCount val="1"/>
                <c:pt idx="0">
                  <c:v>height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Tabelle1!$A$3:$A$13</c:f>
              <c:numCache>
                <c:formatCode>General</c:formatCode>
                <c:ptCount val="11"/>
                <c:pt idx="0">
                  <c:v>-0.5</c:v>
                </c:pt>
                <c:pt idx="1">
                  <c:v>-0.4</c:v>
                </c:pt>
                <c:pt idx="2">
                  <c:v>-0.3</c:v>
                </c:pt>
                <c:pt idx="3">
                  <c:v>-0.2</c:v>
                </c:pt>
                <c:pt idx="4">
                  <c:v>-0.1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cat>
          <c:val>
            <c:numRef>
              <c:f>Tabelle1!$B$3:$B$13</c:f>
              <c:numCache>
                <c:formatCode>General</c:formatCode>
                <c:ptCount val="11"/>
                <c:pt idx="0">
                  <c:v>11.1</c:v>
                </c:pt>
                <c:pt idx="1">
                  <c:v>11.3</c:v>
                </c:pt>
                <c:pt idx="2">
                  <c:v>11.8</c:v>
                </c:pt>
                <c:pt idx="3">
                  <c:v>12</c:v>
                </c:pt>
                <c:pt idx="4">
                  <c:v>12.05</c:v>
                </c:pt>
                <c:pt idx="5">
                  <c:v>12.4</c:v>
                </c:pt>
                <c:pt idx="6">
                  <c:v>12.7</c:v>
                </c:pt>
                <c:pt idx="7">
                  <c:v>13</c:v>
                </c:pt>
                <c:pt idx="8">
                  <c:v>13.4</c:v>
                </c:pt>
                <c:pt idx="9">
                  <c:v>13.6</c:v>
                </c:pt>
                <c:pt idx="10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2-45A1-9401-68F5A6251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29711"/>
        <c:axId val="2117337391"/>
      </c:lineChart>
      <c:catAx>
        <c:axId val="211732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b="1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337391"/>
        <c:crosses val="autoZero"/>
        <c:auto val="1"/>
        <c:lblAlgn val="ctr"/>
        <c:lblOffset val="100"/>
        <c:noMultiLvlLbl val="0"/>
      </c:catAx>
      <c:valAx>
        <c:axId val="2117337391"/>
        <c:scaling>
          <c:orientation val="minMax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 b="1"/>
                  <a:t>mm</a:t>
                </a:r>
              </a:p>
            </c:rich>
          </c:tx>
          <c:layout>
            <c:manualLayout>
              <c:xMode val="edge"/>
              <c:yMode val="edge"/>
              <c:x val="3.4722222222222224E-2"/>
              <c:y val="6.59699037620297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3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(slow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7090229671536605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Tabelle1!$I$48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Tabelle1!$I$49:$I$54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Tabelle1!$J$49:$J$54</c:f>
              <c:numCache>
                <c:formatCode>0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40</c:v>
                </c:pt>
                <c:pt idx="4">
                  <c:v>54</c:v>
                </c:pt>
                <c:pt idx="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8-4806-9DB1-84053C6C9B43}"/>
            </c:ext>
          </c:extLst>
        </c:ser>
        <c:ser>
          <c:idx val="1"/>
          <c:order val="1"/>
          <c:tx>
            <c:strRef>
              <c:f>Tabelle1!$I$56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Tabelle1!$I$57:$I$62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Tabelle1!$J$57:$J$62</c:f>
              <c:numCache>
                <c:formatCode>0</c:formatCode>
                <c:ptCount val="6"/>
                <c:pt idx="0">
                  <c:v>0</c:v>
                </c:pt>
                <c:pt idx="1">
                  <c:v>65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68-4806-9DB1-84053C6C9B43}"/>
            </c:ext>
          </c:extLst>
        </c:ser>
        <c:ser>
          <c:idx val="2"/>
          <c:order val="2"/>
          <c:tx>
            <c:strRef>
              <c:f>Tabelle1!$I$64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Tabelle1!$I$65:$I$66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Tabelle1!$J$65:$J$66</c:f>
              <c:numCache>
                <c:formatCode>General</c:formatCode>
                <c:ptCount val="2"/>
                <c:pt idx="0">
                  <c:v>0</c:v>
                </c:pt>
                <c:pt idx="1">
                  <c:v>371.14285714285717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68-4806-9DB1-84053C6C9B43}"/>
            </c:ext>
          </c:extLst>
        </c:ser>
        <c:ser>
          <c:idx val="3"/>
          <c:order val="3"/>
          <c:tx>
            <c:strRef>
              <c:f>Tabelle1!$I$68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Tabelle1!$I$69:$I$74</c:f>
              <c:numCache>
                <c:formatCode>0.0</c:formatCode>
                <c:ptCount val="6"/>
                <c:pt idx="0">
                  <c:v>0</c:v>
                </c:pt>
                <c:pt idx="1">
                  <c:v>525.40415704387988</c:v>
                </c:pt>
                <c:pt idx="2">
                  <c:v>0</c:v>
                </c:pt>
                <c:pt idx="3">
                  <c:v>80.831408775981515</c:v>
                </c:pt>
                <c:pt idx="4">
                  <c:v>687.06697459584291</c:v>
                </c:pt>
                <c:pt idx="5">
                  <c:v>40.415704387990758</c:v>
                </c:pt>
              </c:numCache>
            </c:numRef>
          </c:xVal>
          <c:yVal>
            <c:numRef>
              <c:f>Tabelle1!$J$69:$J$74</c:f>
              <c:numCache>
                <c:formatCode>0.0</c:formatCode>
                <c:ptCount val="6"/>
                <c:pt idx="0">
                  <c:v>0</c:v>
                </c:pt>
                <c:pt idx="1">
                  <c:v>130</c:v>
                </c:pt>
                <c:pt idx="2">
                  <c:v>0</c:v>
                </c:pt>
                <c:pt idx="3">
                  <c:v>20</c:v>
                </c:pt>
                <c:pt idx="4">
                  <c:v>170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68-4806-9DB1-84053C6C9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0974073643502232E-2"/>
              <c:y val="0.1221455725982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(slow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426434136193247"/>
          <c:y val="0.225777111031049"/>
          <c:w val="0.68100768986253524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Tabelle1!$I$48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Tabelle1!$I$49:$I$54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Tabelle1!$J$49:$J$54</c:f>
              <c:numCache>
                <c:formatCode>0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40</c:v>
                </c:pt>
                <c:pt idx="4">
                  <c:v>54</c:v>
                </c:pt>
                <c:pt idx="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0-44EE-9FC4-09E762D509E9}"/>
            </c:ext>
          </c:extLst>
        </c:ser>
        <c:ser>
          <c:idx val="1"/>
          <c:order val="1"/>
          <c:tx>
            <c:strRef>
              <c:f>Tabelle1!$I$56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Tabelle1!$I$57:$I$62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Tabelle1!$J$57:$J$62</c:f>
              <c:numCache>
                <c:formatCode>0</c:formatCode>
                <c:ptCount val="6"/>
                <c:pt idx="0">
                  <c:v>0</c:v>
                </c:pt>
                <c:pt idx="1">
                  <c:v>65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0-44EE-9FC4-09E762D5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Tabelle1!$I$64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2700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Tabelle1!$I$65:$I$66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Tabelle1!$J$65:$J$66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371.14285714285717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360-44EE-9FC4-09E762D509E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Tabelle1!$I$68</c15:sqref>
                        </c15:formulaRef>
                      </c:ext>
                    </c:extLst>
                    <c:strCache>
                      <c:ptCount val="1"/>
                      <c:pt idx="0">
                        <c:v>???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Tabelle1!$I$69:$I$74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525.40415704387988</c:v>
                      </c:pt>
                      <c:pt idx="2">
                        <c:v>0</c:v>
                      </c:pt>
                      <c:pt idx="3">
                        <c:v>80.831408775981515</c:v>
                      </c:pt>
                      <c:pt idx="4">
                        <c:v>687.06697459584291</c:v>
                      </c:pt>
                      <c:pt idx="5">
                        <c:v>40.415704387990758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Tabelle1!$J$69:$J$74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130</c:v>
                      </c:pt>
                      <c:pt idx="2">
                        <c:v>0</c:v>
                      </c:pt>
                      <c:pt idx="3">
                        <c:v>20</c:v>
                      </c:pt>
                      <c:pt idx="4">
                        <c:v>170</c:v>
                      </c:pt>
                      <c:pt idx="5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60-44EE-9FC4-09E762D509E9}"/>
                  </c:ext>
                </c:extLst>
              </c15:ser>
            </c15:filteredScatterSeries>
          </c:ext>
        </c:extLst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8717592054377789E-2"/>
              <c:y val="0.11797840554344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(fast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458903257643323"/>
          <c:y val="0.225777111031049"/>
          <c:w val="0.64767174148273943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Tabelle1!$Z$47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Tabelle1!$Z$48:$Z$53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Tabelle1!$AA$48:$AA$53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05-4D74-89CE-1616A1F76A62}"/>
            </c:ext>
          </c:extLst>
        </c:ser>
        <c:ser>
          <c:idx val="1"/>
          <c:order val="1"/>
          <c:tx>
            <c:strRef>
              <c:f>Tabelle1!$Z$55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Tabelle1!$Z$56:$Z$61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Tabelle1!$AA$56:$AA$61</c:f>
              <c:numCache>
                <c:formatCode>General</c:formatCode>
                <c:ptCount val="6"/>
                <c:pt idx="0">
                  <c:v>0</c:v>
                </c:pt>
                <c:pt idx="1">
                  <c:v>55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05-4D74-89CE-1616A1F76A62}"/>
            </c:ext>
          </c:extLst>
        </c:ser>
        <c:ser>
          <c:idx val="2"/>
          <c:order val="2"/>
          <c:tx>
            <c:strRef>
              <c:f>Tabelle1!$I$64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Tabelle1!$I$65:$I$66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Tabelle1!$J$65:$J$66</c:f>
              <c:numCache>
                <c:formatCode>General</c:formatCode>
                <c:ptCount val="2"/>
                <c:pt idx="0">
                  <c:v>0</c:v>
                </c:pt>
                <c:pt idx="1">
                  <c:v>371.14285714285717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05-4D74-89CE-1616A1F76A62}"/>
            </c:ext>
          </c:extLst>
        </c:ser>
        <c:ser>
          <c:idx val="3"/>
          <c:order val="3"/>
          <c:tx>
            <c:strRef>
              <c:f>Tabelle1!$I$68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Tabelle1!$I$69:$I$74</c:f>
              <c:numCache>
                <c:formatCode>0.0</c:formatCode>
                <c:ptCount val="6"/>
                <c:pt idx="0">
                  <c:v>0</c:v>
                </c:pt>
                <c:pt idx="1">
                  <c:v>525.40415704387988</c:v>
                </c:pt>
                <c:pt idx="2">
                  <c:v>0</c:v>
                </c:pt>
                <c:pt idx="3">
                  <c:v>80.831408775981515</c:v>
                </c:pt>
                <c:pt idx="4">
                  <c:v>687.06697459584291</c:v>
                </c:pt>
                <c:pt idx="5">
                  <c:v>40.415704387990758</c:v>
                </c:pt>
              </c:numCache>
            </c:numRef>
          </c:xVal>
          <c:yVal>
            <c:numRef>
              <c:f>Tabelle1!$J$69:$J$74</c:f>
              <c:numCache>
                <c:formatCode>0.0</c:formatCode>
                <c:ptCount val="6"/>
                <c:pt idx="0">
                  <c:v>0</c:v>
                </c:pt>
                <c:pt idx="1">
                  <c:v>130</c:v>
                </c:pt>
                <c:pt idx="2">
                  <c:v>0</c:v>
                </c:pt>
                <c:pt idx="3">
                  <c:v>20</c:v>
                </c:pt>
                <c:pt idx="4">
                  <c:v>170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05-4D74-89CE-1616A1F7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2.5811728036251862E-2"/>
              <c:y val="0.12631273965312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(fast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9391355388066134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Tabelle1!$Z$47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Tabelle1!$Z$48:$Z$53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Tabelle1!$AA$48:$AA$53</c:f>
              <c:numCache>
                <c:formatCode>General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F-4363-97C5-9CF82FC49F12}"/>
            </c:ext>
          </c:extLst>
        </c:ser>
        <c:ser>
          <c:idx val="1"/>
          <c:order val="1"/>
          <c:tx>
            <c:strRef>
              <c:f>Tabelle1!$Z$55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Tabelle1!$Z$56:$Z$61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Tabelle1!$AA$56:$AA$61</c:f>
              <c:numCache>
                <c:formatCode>General</c:formatCode>
                <c:ptCount val="6"/>
                <c:pt idx="0">
                  <c:v>0</c:v>
                </c:pt>
                <c:pt idx="1">
                  <c:v>55</c:v>
                </c:pt>
                <c:pt idx="2">
                  <c:v>135</c:v>
                </c:pt>
                <c:pt idx="3">
                  <c:v>215</c:v>
                </c:pt>
                <c:pt idx="4">
                  <c:v>285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F-4363-97C5-9CF82FC49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Tabelle1!$I$64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2700" cap="rnd">
                    <a:solidFill>
                      <a:schemeClr val="accent4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Tabelle1!$I$65:$I$66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Tabelle1!$J$65:$J$66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371.14285714285717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15F-4363-97C5-9CF82FC49F1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Tabelle1!$I$68</c15:sqref>
                        </c15:formulaRef>
                      </c:ext>
                    </c:extLst>
                    <c:strCache>
                      <c:ptCount val="1"/>
                      <c:pt idx="0">
                        <c:v>???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Tabelle1!$I$69:$I$74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525.40415704387988</c:v>
                      </c:pt>
                      <c:pt idx="2">
                        <c:v>0</c:v>
                      </c:pt>
                      <c:pt idx="3">
                        <c:v>80.831408775981515</c:v>
                      </c:pt>
                      <c:pt idx="4">
                        <c:v>687.06697459584291</c:v>
                      </c:pt>
                      <c:pt idx="5">
                        <c:v>40.415704387990758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Tabelle1!$J$69:$J$74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0</c:v>
                      </c:pt>
                      <c:pt idx="1">
                        <c:v>130</c:v>
                      </c:pt>
                      <c:pt idx="2">
                        <c:v>0</c:v>
                      </c:pt>
                      <c:pt idx="3">
                        <c:v>20</c:v>
                      </c:pt>
                      <c:pt idx="4">
                        <c:v>170</c:v>
                      </c:pt>
                      <c:pt idx="5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5F-4363-97C5-9CF82FC49F12}"/>
                  </c:ext>
                </c:extLst>
              </c15:ser>
            </c15:filteredScatterSeries>
          </c:ext>
        </c:extLst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2.8392900839877045E-2"/>
              <c:y val="0.11797840554344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Height of Unknown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2783042540216401E-2"/>
          <c:y val="0.11188377608235291"/>
          <c:w val="0.70487116117557058"/>
          <c:h val="0.523465356912708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Tabelle1!$K$68</c:f>
              <c:strCache>
                <c:ptCount val="1"/>
                <c:pt idx="0">
                  <c:v>assumed height</c:v>
                </c:pt>
              </c:strCache>
            </c:strRef>
          </c:tx>
          <c:spPr>
            <a:pattFill prst="ltUpDiag">
              <a:fgClr>
                <a:sysClr val="windowText" lastClr="000000">
                  <a:lumMod val="65000"/>
                  <a:lumOff val="35000"/>
                </a:sys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Tabelle1!$K$70:$K$74</c:f>
              <c:numCache>
                <c:formatCode>0.0</c:formatCode>
                <c:ptCount val="5"/>
                <c:pt idx="0">
                  <c:v>500</c:v>
                </c:pt>
                <c:pt idx="1">
                  <c:v>0</c:v>
                </c:pt>
                <c:pt idx="2">
                  <c:v>100</c:v>
                </c:pt>
                <c:pt idx="3">
                  <c:v>700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6-441D-B83E-34BC2EC3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26559727"/>
        <c:axId val="1826557807"/>
      </c:barChart>
      <c:barChart>
        <c:barDir val="col"/>
        <c:grouping val="clustered"/>
        <c:varyColors val="0"/>
        <c:ser>
          <c:idx val="0"/>
          <c:order val="0"/>
          <c:tx>
            <c:strRef>
              <c:f>Tabelle1!$H$68</c:f>
              <c:strCache>
                <c:ptCount val="1"/>
                <c:pt idx="0">
                  <c:v>slow scan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Tabelle1!$I$70:$I$74</c:f>
              <c:numCache>
                <c:formatCode>0.0</c:formatCode>
                <c:ptCount val="5"/>
                <c:pt idx="0">
                  <c:v>525.40415704387988</c:v>
                </c:pt>
                <c:pt idx="1">
                  <c:v>0</c:v>
                </c:pt>
                <c:pt idx="2">
                  <c:v>80.831408775981515</c:v>
                </c:pt>
                <c:pt idx="3">
                  <c:v>687.06697459584291</c:v>
                </c:pt>
                <c:pt idx="4">
                  <c:v>40.415704387990758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6-441D-B83E-34BC2EC3AF9D}"/>
            </c:ext>
          </c:extLst>
        </c:ser>
        <c:ser>
          <c:idx val="1"/>
          <c:order val="1"/>
          <c:tx>
            <c:strRef>
              <c:f>Tabelle1!$Y$68</c:f>
              <c:strCache>
                <c:ptCount val="1"/>
                <c:pt idx="0">
                  <c:v>fast scan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Tabelle1!$Z$70:$Z$74</c:f>
              <c:numCache>
                <c:formatCode>0.0</c:formatCode>
                <c:ptCount val="5"/>
                <c:pt idx="0">
                  <c:v>517.04545454545462</c:v>
                </c:pt>
                <c:pt idx="1">
                  <c:v>0</c:v>
                </c:pt>
                <c:pt idx="2">
                  <c:v>99.431818181818187</c:v>
                </c:pt>
                <c:pt idx="3">
                  <c:v>735.79545454545462</c:v>
                </c:pt>
                <c:pt idx="4">
                  <c:v>79.545454545454547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6-441D-B83E-34BC2EC3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685263"/>
        <c:axId val="1757667503"/>
      </c:barChart>
      <c:catAx>
        <c:axId val="18265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Measuring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7807"/>
        <c:crosses val="autoZero"/>
        <c:auto val="1"/>
        <c:lblAlgn val="ctr"/>
        <c:lblOffset val="100"/>
        <c:noMultiLvlLbl val="0"/>
      </c:catAx>
      <c:valAx>
        <c:axId val="18265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</a:t>
                </a:r>
                <a:r>
                  <a:rPr lang="de-DE" b="1" baseline="0"/>
                  <a:t> </a:t>
                </a:r>
                <a:r>
                  <a:rPr lang="de-DE" b="1"/>
                  <a:t>(µm)</a:t>
                </a:r>
              </a:p>
            </c:rich>
          </c:tx>
          <c:layout>
            <c:manualLayout>
              <c:xMode val="edge"/>
              <c:yMode val="edge"/>
              <c:x val="0.13430354456348936"/>
              <c:y val="4.4208537672275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9727"/>
        <c:crosses val="autoZero"/>
        <c:crossBetween val="between"/>
        <c:minorUnit val="50"/>
      </c:valAx>
      <c:valAx>
        <c:axId val="17576675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685263"/>
        <c:crosses val="max"/>
        <c:crossBetween val="between"/>
      </c:valAx>
      <c:catAx>
        <c:axId val="1757685263"/>
        <c:scaling>
          <c:orientation val="minMax"/>
        </c:scaling>
        <c:delete val="1"/>
        <c:axPos val="b"/>
        <c:majorTickMark val="out"/>
        <c:minorTickMark val="none"/>
        <c:tickLblPos val="nextTo"/>
        <c:crossAx val="1757667503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AFM</a:t>
            </a:r>
            <a:r>
              <a:rPr lang="de-DE" b="1" baseline="0"/>
              <a:t> Readout Voltage and Height</a:t>
            </a:r>
            <a:br>
              <a:rPr lang="de-DE" b="1" baseline="0"/>
            </a:br>
            <a:r>
              <a:rPr lang="de-DE" b="1" baseline="0"/>
              <a:t>(tapping mode slow scan)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358477343806532E-2"/>
          <c:y val="0.225777111031049"/>
          <c:w val="0.67090229671536605"/>
          <c:h val="0.58952026391620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Tabelle1!$I$126</c:f>
              <c:strCache>
                <c:ptCount val="1"/>
                <c:pt idx="0">
                  <c:v>100 µm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Tabelle1!$I$127:$I$132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xVal>
          <c:yVal>
            <c:numRef>
              <c:f>Tabelle1!$J$127:$J$132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A-487B-B362-AB269DAB26AB}"/>
            </c:ext>
          </c:extLst>
        </c:ser>
        <c:ser>
          <c:idx val="1"/>
          <c:order val="1"/>
          <c:tx>
            <c:strRef>
              <c:f>Tabelle1!$I$134</c:f>
              <c:strCache>
                <c:ptCount val="1"/>
                <c:pt idx="0">
                  <c:v>250 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Tabelle1!$I$135:$I$140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</c:numCache>
            </c:numRef>
          </c:xVal>
          <c:yVal>
            <c:numRef>
              <c:f>Tabelle1!$J$135:$J$140</c:f>
              <c:numCache>
                <c:formatCode>General</c:formatCode>
                <c:ptCount val="6"/>
                <c:pt idx="0">
                  <c:v>0</c:v>
                </c:pt>
                <c:pt idx="1">
                  <c:v>90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A-487B-B362-AB269DAB26AB}"/>
            </c:ext>
          </c:extLst>
        </c:ser>
        <c:ser>
          <c:idx val="2"/>
          <c:order val="2"/>
          <c:tx>
            <c:strRef>
              <c:f>Tabelle1!$I$142</c:f>
              <c:strCache>
                <c:ptCount val="1"/>
                <c:pt idx="0">
                  <c:v>Average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Tabelle1!$I$143:$I$144</c:f>
              <c:numCache>
                <c:formatCode>General</c:formatCode>
                <c:ptCount val="2"/>
                <c:pt idx="0">
                  <c:v>0</c:v>
                </c:pt>
                <c:pt idx="1">
                  <c:v>1500</c:v>
                </c:pt>
              </c:numCache>
            </c:numRef>
          </c:xVal>
          <c:yVal>
            <c:numRef>
              <c:f>Tabelle1!$J$143:$J$144</c:f>
              <c:numCache>
                <c:formatCode>General</c:formatCode>
                <c:ptCount val="2"/>
                <c:pt idx="0">
                  <c:v>0</c:v>
                </c:pt>
                <c:pt idx="1">
                  <c:v>402.85714285714289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BA-487B-B362-AB269DAB26AB}"/>
            </c:ext>
          </c:extLst>
        </c:ser>
        <c:ser>
          <c:idx val="3"/>
          <c:order val="3"/>
          <c:tx>
            <c:strRef>
              <c:f>Tabelle1!$I$146</c:f>
              <c:strCache>
                <c:ptCount val="1"/>
                <c:pt idx="0">
                  <c:v>???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Tabelle1!$I$147:$I$152</c:f>
              <c:numCache>
                <c:formatCode>0.0</c:formatCode>
                <c:ptCount val="6"/>
                <c:pt idx="0">
                  <c:v>0</c:v>
                </c:pt>
                <c:pt idx="1">
                  <c:v>502.65957446808505</c:v>
                </c:pt>
                <c:pt idx="2">
                  <c:v>0</c:v>
                </c:pt>
                <c:pt idx="3">
                  <c:v>55.851063829787229</c:v>
                </c:pt>
                <c:pt idx="4">
                  <c:v>670.21276595744678</c:v>
                </c:pt>
                <c:pt idx="5">
                  <c:v>37.234042553191486</c:v>
                </c:pt>
              </c:numCache>
            </c:numRef>
          </c:xVal>
          <c:yVal>
            <c:numRef>
              <c:f>Tabelle1!$J$147:$J$152</c:f>
              <c:numCache>
                <c:formatCode>0.0</c:formatCode>
                <c:ptCount val="6"/>
                <c:pt idx="0">
                  <c:v>0</c:v>
                </c:pt>
                <c:pt idx="1">
                  <c:v>135</c:v>
                </c:pt>
                <c:pt idx="2">
                  <c:v>0</c:v>
                </c:pt>
                <c:pt idx="3">
                  <c:v>15</c:v>
                </c:pt>
                <c:pt idx="4">
                  <c:v>180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BA-487B-B362-AB269DAB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746751"/>
        <c:axId val="1026745311"/>
      </c:scatterChart>
      <c:valAx>
        <c:axId val="102674675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5311"/>
        <c:crosses val="autoZero"/>
        <c:crossBetween val="midCat"/>
        <c:majorUnit val="250"/>
        <c:minorUnit val="50"/>
      </c:valAx>
      <c:valAx>
        <c:axId val="10267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Voltage (mV)</a:t>
                </a:r>
              </a:p>
            </c:rich>
          </c:tx>
          <c:layout>
            <c:manualLayout>
              <c:xMode val="edge"/>
              <c:yMode val="edge"/>
              <c:x val="3.0974073643502232E-2"/>
              <c:y val="0.12214557259828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6746751"/>
        <c:crosses val="autoZero"/>
        <c:crossBetween val="midCat"/>
        <c:majorUnit val="100"/>
        <c:min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Height of Unknown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2783042540216401E-2"/>
          <c:y val="0.11188377608235291"/>
          <c:w val="0.70487116117557058"/>
          <c:h val="0.5234653569127086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Tabelle1!$K$146</c:f>
              <c:strCache>
                <c:ptCount val="1"/>
                <c:pt idx="0">
                  <c:v>assumed height</c:v>
                </c:pt>
              </c:strCache>
            </c:strRef>
          </c:tx>
          <c:spPr>
            <a:pattFill prst="ltUpDiag">
              <a:fgClr>
                <a:sysClr val="windowText" lastClr="000000">
                  <a:lumMod val="65000"/>
                  <a:lumOff val="35000"/>
                </a:sys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Tabelle1!$K$148:$K$152</c:f>
              <c:numCache>
                <c:formatCode>0.0</c:formatCode>
                <c:ptCount val="5"/>
                <c:pt idx="0">
                  <c:v>500</c:v>
                </c:pt>
                <c:pt idx="1">
                  <c:v>0</c:v>
                </c:pt>
                <c:pt idx="2">
                  <c:v>100</c:v>
                </c:pt>
                <c:pt idx="3">
                  <c:v>700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F-493B-BE38-68F7BC1E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26559727"/>
        <c:axId val="1826557807"/>
      </c:barChart>
      <c:barChart>
        <c:barDir val="col"/>
        <c:grouping val="clustered"/>
        <c:varyColors val="0"/>
        <c:ser>
          <c:idx val="0"/>
          <c:order val="0"/>
          <c:tx>
            <c:strRef>
              <c:f>Tabelle1!$H$146</c:f>
              <c:strCache>
                <c:ptCount val="1"/>
                <c:pt idx="0">
                  <c:v>slow scan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Tabelle1!$I$148:$I$152</c:f>
              <c:numCache>
                <c:formatCode>0.0</c:formatCode>
                <c:ptCount val="5"/>
                <c:pt idx="0">
                  <c:v>502.65957446808505</c:v>
                </c:pt>
                <c:pt idx="1">
                  <c:v>0</c:v>
                </c:pt>
                <c:pt idx="2">
                  <c:v>55.851063829787229</c:v>
                </c:pt>
                <c:pt idx="3">
                  <c:v>670.21276595744678</c:v>
                </c:pt>
                <c:pt idx="4">
                  <c:v>37.234042553191486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F-493B-BE38-68F7BC1E9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685263"/>
        <c:axId val="17576675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Tabelle1!$Y$68</c15:sqref>
                        </c15:formulaRef>
                      </c:ext>
                    </c:extLst>
                    <c:strCache>
                      <c:ptCount val="1"/>
                      <c:pt idx="0">
                        <c:v>fast scan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Tabelle1!$Z$70:$Z$74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517.04545454545462</c:v>
                      </c:pt>
                      <c:pt idx="1">
                        <c:v>0</c:v>
                      </c:pt>
                      <c:pt idx="2">
                        <c:v>99.431818181818187</c:v>
                      </c:pt>
                      <c:pt idx="3">
                        <c:v>735.79545454545462</c:v>
                      </c:pt>
                      <c:pt idx="4">
                        <c:v>79.545454545454547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0FF-493B-BE38-68F7BC1E90D5}"/>
                  </c:ext>
                </c:extLst>
              </c15:ser>
            </c15:filteredBarSeries>
          </c:ext>
        </c:extLst>
      </c:barChart>
      <c:catAx>
        <c:axId val="18265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Measuring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7807"/>
        <c:crosses val="autoZero"/>
        <c:auto val="1"/>
        <c:lblAlgn val="ctr"/>
        <c:lblOffset val="100"/>
        <c:noMultiLvlLbl val="0"/>
      </c:catAx>
      <c:valAx>
        <c:axId val="18265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Height</a:t>
                </a:r>
                <a:r>
                  <a:rPr lang="de-DE" b="1" baseline="0"/>
                  <a:t> </a:t>
                </a:r>
                <a:r>
                  <a:rPr lang="de-DE" b="1"/>
                  <a:t>(µm)</a:t>
                </a:r>
              </a:p>
            </c:rich>
          </c:tx>
          <c:layout>
            <c:manualLayout>
              <c:xMode val="edge"/>
              <c:yMode val="edge"/>
              <c:x val="0.13430354456348936"/>
              <c:y val="4.4208537672275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6559727"/>
        <c:crosses val="autoZero"/>
        <c:crossBetween val="between"/>
        <c:minorUnit val="50"/>
      </c:valAx>
      <c:valAx>
        <c:axId val="17576675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685263"/>
        <c:crosses val="max"/>
        <c:crossBetween val="between"/>
      </c:valAx>
      <c:catAx>
        <c:axId val="1757685263"/>
        <c:scaling>
          <c:orientation val="minMax"/>
        </c:scaling>
        <c:delete val="1"/>
        <c:axPos val="b"/>
        <c:majorTickMark val="out"/>
        <c:minorTickMark val="none"/>
        <c:tickLblPos val="nextTo"/>
        <c:crossAx val="1757667503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655320</xdr:colOff>
      <xdr:row>0</xdr:row>
      <xdr:rowOff>127635</xdr:rowOff>
    </xdr:from>
    <xdr:to>
      <xdr:col>10</xdr:col>
      <xdr:colOff>91440</xdr:colOff>
      <xdr:row>15</xdr:row>
      <xdr:rowOff>127635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4E91D4A-50E8-AA4B-32AD-636CAFDC8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7</xdr:row>
      <xdr:rowOff>19050</xdr:rowOff>
    </xdr:from>
    <xdr:to>
      <xdr:col>10</xdr:col>
      <xdr:colOff>209550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Rechteck 2">
              <a:extLst>
                <a:ext uri="{FF2B5EF4-FFF2-40B4-BE49-F238E27FC236}">
                  <a16:creationId xmlns:a16="http://schemas.microsoft.com/office/drawing/2014/main" id="{7D5F5A13-BBB6-C0AD-482A-4F7996D62E7F}"/>
                </a:ext>
              </a:extLst>
            </xdr:cNvPr>
            <xdr:cNvSpPr/>
          </xdr:nvSpPr>
          <xdr:spPr>
            <a:xfrm>
              <a:off x="6762750" y="1352550"/>
              <a:ext cx="1066800" cy="37147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horzOverflow="clip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de-A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0.27 </m:t>
                    </m:r>
                    <m:f>
                      <m:fPr>
                        <m:ctrlPr>
                          <a:rPr lang="de-A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mm</m:t>
                        </m:r>
                      </m:num>
                      <m:den>
                        <m:r>
                          <a:rPr lang="de-A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</m:t>
                        </m:r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de-AT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mV</m:t>
                        </m:r>
                      </m:den>
                    </m:f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Rechteck 2">
              <a:extLst>
                <a:ext uri="{FF2B5EF4-FFF2-40B4-BE49-F238E27FC236}">
                  <a16:creationId xmlns:a16="http://schemas.microsoft.com/office/drawing/2014/main" id="{7D5F5A13-BBB6-C0AD-482A-4F7996D62E7F}"/>
                </a:ext>
              </a:extLst>
            </xdr:cNvPr>
            <xdr:cNvSpPr/>
          </xdr:nvSpPr>
          <xdr:spPr>
            <a:xfrm>
              <a:off x="6762750" y="1352550"/>
              <a:ext cx="1066800" cy="37147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de-DE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de-A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0.27  "mm" /100" mV" </a:t>
              </a:r>
              <a:endParaRPr lang="de-DE" sz="1100"/>
            </a:p>
          </xdr:txBody>
        </xdr:sp>
      </mc:Fallback>
    </mc:AlternateContent>
    <xdr:clientData/>
  </xdr:twoCellAnchor>
  <xdr:twoCellAnchor>
    <xdr:from>
      <xdr:col>13</xdr:col>
      <xdr:colOff>486749</xdr:colOff>
      <xdr:row>49</xdr:row>
      <xdr:rowOff>79849</xdr:rowOff>
    </xdr:from>
    <xdr:to>
      <xdr:col>20</xdr:col>
      <xdr:colOff>72993</xdr:colOff>
      <xdr:row>65</xdr:row>
      <xdr:rowOff>79483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6318A19-C85B-270F-26C5-1E268CBD3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623454</xdr:colOff>
      <xdr:row>69</xdr:row>
      <xdr:rowOff>0</xdr:rowOff>
    </xdr:from>
    <xdr:to>
      <xdr:col>20</xdr:col>
      <xdr:colOff>209698</xdr:colOff>
      <xdr:row>84</xdr:row>
      <xdr:rowOff>190134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B43FE8A0-A43C-4D37-B9AE-CB0FF3F66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124443</xdr:colOff>
      <xdr:row>48</xdr:row>
      <xdr:rowOff>35131</xdr:rowOff>
    </xdr:from>
    <xdr:to>
      <xdr:col>36</xdr:col>
      <xdr:colOff>472687</xdr:colOff>
      <xdr:row>64</xdr:row>
      <xdr:rowOff>34765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19B1ED45-B3A1-45CF-9B2A-D75AA97E4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68</xdr:row>
      <xdr:rowOff>0</xdr:rowOff>
    </xdr:from>
    <xdr:to>
      <xdr:col>36</xdr:col>
      <xdr:colOff>348244</xdr:colOff>
      <xdr:row>83</xdr:row>
      <xdr:rowOff>190134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DAB4515C-FBF9-4B20-A7EC-B7906B5FA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612320</xdr:colOff>
      <xdr:row>77</xdr:row>
      <xdr:rowOff>48827</xdr:rowOff>
    </xdr:from>
    <xdr:to>
      <xdr:col>28</xdr:col>
      <xdr:colOff>526675</xdr:colOff>
      <xdr:row>102</xdr:row>
      <xdr:rowOff>123266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E2F43A32-6E6F-4B82-BD61-8EC75BDB8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481854</xdr:colOff>
      <xdr:row>126</xdr:row>
      <xdr:rowOff>134471</xdr:rowOff>
    </xdr:from>
    <xdr:to>
      <xdr:col>20</xdr:col>
      <xdr:colOff>68098</xdr:colOff>
      <xdr:row>142</xdr:row>
      <xdr:rowOff>134105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D806DEB-2567-4133-BDB2-51D2AA06F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190499</xdr:colOff>
      <xdr:row>115</xdr:row>
      <xdr:rowOff>22412</xdr:rowOff>
    </xdr:from>
    <xdr:to>
      <xdr:col>28</xdr:col>
      <xdr:colOff>104854</xdr:colOff>
      <xdr:row>140</xdr:row>
      <xdr:rowOff>96851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C6881A6-4CFE-4361-8C11-7AA1A0E16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1238-07F0-4F79-A400-2B4B4E09B5E3}">
  <dimension ref="A1:AK152"/>
  <sheetViews>
    <sheetView tabSelected="1" topLeftCell="H82" zoomScale="85" zoomScaleNormal="85" workbookViewId="0">
      <selection activeCell="S98" sqref="S98"/>
    </sheetView>
  </sheetViews>
  <sheetFormatPr baseColWidth="10" defaultRowHeight="15" x14ac:dyDescent="0.25"/>
  <cols>
    <col min="9" max="9" width="13.7109375" bestFit="1" customWidth="1"/>
    <col min="10" max="11" width="14.7109375" bestFit="1" customWidth="1"/>
  </cols>
  <sheetData>
    <row r="1" spans="1:4" x14ac:dyDescent="0.25">
      <c r="A1" t="s">
        <v>8</v>
      </c>
    </row>
    <row r="2" spans="1:4" x14ac:dyDescent="0.25">
      <c r="A2" t="s">
        <v>0</v>
      </c>
      <c r="B2" t="s">
        <v>1</v>
      </c>
      <c r="C2" t="s">
        <v>2</v>
      </c>
      <c r="D2" t="s">
        <v>65</v>
      </c>
    </row>
    <row r="3" spans="1:4" x14ac:dyDescent="0.25">
      <c r="A3">
        <v>-0.5</v>
      </c>
      <c r="B3">
        <v>11.1</v>
      </c>
      <c r="C3">
        <v>45.7</v>
      </c>
      <c r="D3">
        <f>(B13-B3)/(A13-A3)</f>
        <v>2.7000000000000011</v>
      </c>
    </row>
    <row r="4" spans="1:4" x14ac:dyDescent="0.25">
      <c r="A4">
        <v>-0.4</v>
      </c>
      <c r="B4">
        <v>11.3</v>
      </c>
    </row>
    <row r="5" spans="1:4" x14ac:dyDescent="0.25">
      <c r="A5">
        <v>-0.3</v>
      </c>
      <c r="B5">
        <v>11.8</v>
      </c>
    </row>
    <row r="6" spans="1:4" x14ac:dyDescent="0.25">
      <c r="A6">
        <v>-0.2</v>
      </c>
      <c r="B6">
        <v>12</v>
      </c>
    </row>
    <row r="7" spans="1:4" x14ac:dyDescent="0.25">
      <c r="A7">
        <v>-0.1</v>
      </c>
      <c r="B7">
        <v>12.05</v>
      </c>
    </row>
    <row r="8" spans="1:4" x14ac:dyDescent="0.25">
      <c r="A8">
        <v>0</v>
      </c>
      <c r="B8">
        <v>12.4</v>
      </c>
    </row>
    <row r="9" spans="1:4" x14ac:dyDescent="0.25">
      <c r="A9">
        <v>0.1</v>
      </c>
      <c r="B9">
        <v>12.7</v>
      </c>
    </row>
    <row r="10" spans="1:4" x14ac:dyDescent="0.25">
      <c r="A10">
        <v>0.2</v>
      </c>
      <c r="B10">
        <v>13</v>
      </c>
    </row>
    <row r="11" spans="1:4" x14ac:dyDescent="0.25">
      <c r="A11">
        <v>0.3</v>
      </c>
      <c r="B11">
        <v>13.4</v>
      </c>
    </row>
    <row r="12" spans="1:4" x14ac:dyDescent="0.25">
      <c r="A12">
        <v>0.4</v>
      </c>
      <c r="B12">
        <v>13.6</v>
      </c>
    </row>
    <row r="13" spans="1:4" x14ac:dyDescent="0.25">
      <c r="A13">
        <v>0.5</v>
      </c>
      <c r="B13">
        <v>13.8</v>
      </c>
    </row>
    <row r="15" spans="1:4" x14ac:dyDescent="0.25">
      <c r="A15" t="s">
        <v>9</v>
      </c>
    </row>
    <row r="16" spans="1:4" x14ac:dyDescent="0.25">
      <c r="A16" t="s">
        <v>10</v>
      </c>
    </row>
    <row r="18" spans="1:13" x14ac:dyDescent="0.25">
      <c r="A18" t="s">
        <v>7</v>
      </c>
    </row>
    <row r="19" spans="1:13" x14ac:dyDescent="0.25">
      <c r="A19" t="s">
        <v>3</v>
      </c>
      <c r="B19" t="s">
        <v>4</v>
      </c>
    </row>
    <row r="20" spans="1:13" x14ac:dyDescent="0.25">
      <c r="A20" t="s">
        <v>5</v>
      </c>
      <c r="B20" t="s">
        <v>6</v>
      </c>
    </row>
    <row r="23" spans="1:13" x14ac:dyDescent="0.25">
      <c r="A23" t="s">
        <v>27</v>
      </c>
    </row>
    <row r="25" spans="1:13" x14ac:dyDescent="0.25">
      <c r="A25" t="s">
        <v>13</v>
      </c>
    </row>
    <row r="26" spans="1:13" x14ac:dyDescent="0.25">
      <c r="A26" t="s">
        <v>12</v>
      </c>
      <c r="D26" t="s">
        <v>26</v>
      </c>
      <c r="E26" t="s">
        <v>66</v>
      </c>
      <c r="I26">
        <v>-68</v>
      </c>
      <c r="J26">
        <v>-135</v>
      </c>
      <c r="L26">
        <f>I26-I$26</f>
        <v>0</v>
      </c>
      <c r="M26">
        <f>J26-J$26</f>
        <v>0</v>
      </c>
    </row>
    <row r="27" spans="1:13" x14ac:dyDescent="0.25">
      <c r="A27" t="s">
        <v>13</v>
      </c>
      <c r="D27">
        <f>1/(220000*100*10^-9)</f>
        <v>45.454545454545453</v>
      </c>
      <c r="E27">
        <f>1/(2*PI()*220000*100*10^-9)</f>
        <v>7.2343155950861515</v>
      </c>
      <c r="I27">
        <v>-46</v>
      </c>
      <c r="J27">
        <v>-115</v>
      </c>
      <c r="L27">
        <f t="shared" ref="L27:M31" si="0">I27-I$26</f>
        <v>22</v>
      </c>
      <c r="M27">
        <f t="shared" si="0"/>
        <v>20</v>
      </c>
    </row>
    <row r="28" spans="1:13" x14ac:dyDescent="0.25">
      <c r="A28" t="s">
        <v>11</v>
      </c>
      <c r="I28">
        <v>-24</v>
      </c>
      <c r="J28">
        <v>-95</v>
      </c>
      <c r="L28">
        <f t="shared" si="0"/>
        <v>44</v>
      </c>
      <c r="M28">
        <f t="shared" si="0"/>
        <v>40</v>
      </c>
    </row>
    <row r="29" spans="1:13" x14ac:dyDescent="0.25">
      <c r="I29">
        <v>-20</v>
      </c>
      <c r="J29">
        <v>-85</v>
      </c>
      <c r="L29">
        <f t="shared" si="0"/>
        <v>48</v>
      </c>
      <c r="M29">
        <f t="shared" si="0"/>
        <v>50</v>
      </c>
    </row>
    <row r="30" spans="1:13" x14ac:dyDescent="0.25">
      <c r="A30" t="s">
        <v>14</v>
      </c>
      <c r="B30" t="s">
        <v>17</v>
      </c>
      <c r="I30">
        <v>-6</v>
      </c>
      <c r="J30">
        <v>-70</v>
      </c>
      <c r="L30">
        <f t="shared" si="0"/>
        <v>62</v>
      </c>
      <c r="M30">
        <f t="shared" si="0"/>
        <v>65</v>
      </c>
    </row>
    <row r="31" spans="1:13" x14ac:dyDescent="0.25">
      <c r="A31" t="s">
        <v>16</v>
      </c>
      <c r="B31" t="s">
        <v>15</v>
      </c>
      <c r="I31">
        <v>10</v>
      </c>
      <c r="J31">
        <v>-55</v>
      </c>
      <c r="L31">
        <f t="shared" si="0"/>
        <v>78</v>
      </c>
      <c r="M31">
        <f t="shared" si="0"/>
        <v>80</v>
      </c>
    </row>
    <row r="32" spans="1:13" x14ac:dyDescent="0.25">
      <c r="A32" t="s">
        <v>20</v>
      </c>
      <c r="B32" t="s">
        <v>21</v>
      </c>
    </row>
    <row r="33" spans="1:37" x14ac:dyDescent="0.25">
      <c r="A33" t="s">
        <v>18</v>
      </c>
      <c r="B33" t="s">
        <v>19</v>
      </c>
    </row>
    <row r="34" spans="1:37" x14ac:dyDescent="0.25">
      <c r="A34" t="s">
        <v>22</v>
      </c>
      <c r="B34" t="s">
        <v>24</v>
      </c>
      <c r="E34" t="s">
        <v>81</v>
      </c>
      <c r="F34">
        <v>-21.25</v>
      </c>
      <c r="G34">
        <v>256.25</v>
      </c>
    </row>
    <row r="35" spans="1:37" x14ac:dyDescent="0.25">
      <c r="A35" t="s">
        <v>25</v>
      </c>
      <c r="B35" t="s">
        <v>23</v>
      </c>
    </row>
    <row r="37" spans="1:37" x14ac:dyDescent="0.25">
      <c r="F37" t="s">
        <v>71</v>
      </c>
      <c r="I37" t="s">
        <v>73</v>
      </c>
      <c r="M37" t="s">
        <v>74</v>
      </c>
      <c r="O37" t="s">
        <v>76</v>
      </c>
      <c r="Q37" t="s">
        <v>75</v>
      </c>
      <c r="W37" t="s">
        <v>71</v>
      </c>
      <c r="Z37" t="s">
        <v>73</v>
      </c>
      <c r="AD37" t="s">
        <v>74</v>
      </c>
      <c r="AF37" t="s">
        <v>76</v>
      </c>
      <c r="AH37" t="s">
        <v>75</v>
      </c>
    </row>
    <row r="38" spans="1:37" x14ac:dyDescent="0.25">
      <c r="F38">
        <v>100</v>
      </c>
      <c r="G38">
        <v>250</v>
      </c>
      <c r="H38" t="s">
        <v>34</v>
      </c>
      <c r="I38">
        <v>100</v>
      </c>
      <c r="J38">
        <v>250</v>
      </c>
      <c r="K38" t="s">
        <v>34</v>
      </c>
      <c r="M38">
        <v>100</v>
      </c>
      <c r="N38">
        <v>250</v>
      </c>
      <c r="W38">
        <v>100</v>
      </c>
      <c r="X38">
        <v>250</v>
      </c>
      <c r="Y38" t="s">
        <v>34</v>
      </c>
      <c r="Z38">
        <v>100</v>
      </c>
      <c r="AA38">
        <v>250</v>
      </c>
      <c r="AB38" t="s">
        <v>34</v>
      </c>
      <c r="AD38">
        <v>100</v>
      </c>
      <c r="AE38">
        <v>250</v>
      </c>
    </row>
    <row r="39" spans="1:37" x14ac:dyDescent="0.25">
      <c r="A39" t="s">
        <v>28</v>
      </c>
      <c r="E39">
        <v>0</v>
      </c>
      <c r="F39">
        <v>-72</v>
      </c>
      <c r="G39">
        <v>-275</v>
      </c>
      <c r="H39">
        <v>-280</v>
      </c>
      <c r="I39">
        <f>F39-$F$39</f>
        <v>0</v>
      </c>
      <c r="J39">
        <f>G39-$G$39</f>
        <v>0</v>
      </c>
      <c r="K39">
        <f>H39-$H$39</f>
        <v>0</v>
      </c>
      <c r="V39">
        <v>0</v>
      </c>
      <c r="W39">
        <v>-140</v>
      </c>
      <c r="X39">
        <v>-325</v>
      </c>
      <c r="Y39">
        <v>-35</v>
      </c>
      <c r="Z39">
        <f>W39-W$39</f>
        <v>0</v>
      </c>
      <c r="AA39">
        <f>X39-X$39</f>
        <v>0</v>
      </c>
      <c r="AB39">
        <f>Y39-Y$39</f>
        <v>0</v>
      </c>
    </row>
    <row r="40" spans="1:37" x14ac:dyDescent="0.25">
      <c r="A40" t="s">
        <v>29</v>
      </c>
      <c r="B40" t="s">
        <v>30</v>
      </c>
      <c r="E40">
        <v>1</v>
      </c>
      <c r="F40">
        <v>-50</v>
      </c>
      <c r="G40">
        <v>-210</v>
      </c>
      <c r="H40">
        <v>-150</v>
      </c>
      <c r="I40">
        <f t="shared" ref="I40:I44" si="1">F40-$F$39</f>
        <v>22</v>
      </c>
      <c r="J40">
        <f t="shared" ref="J40:J44" si="2">G40-$G$39</f>
        <v>65</v>
      </c>
      <c r="K40">
        <f t="shared" ref="K40:K44" si="3">H40-$H$39</f>
        <v>130</v>
      </c>
      <c r="M40">
        <f>I40-I39</f>
        <v>22</v>
      </c>
      <c r="N40">
        <f>(J40-J39)/2.5</f>
        <v>26</v>
      </c>
      <c r="O40">
        <v>100</v>
      </c>
      <c r="P40">
        <v>250</v>
      </c>
      <c r="Q40">
        <f t="shared" ref="Q40:R44" si="4">O40*M40</f>
        <v>2200</v>
      </c>
      <c r="R40">
        <f t="shared" si="4"/>
        <v>6500</v>
      </c>
      <c r="V40">
        <v>1</v>
      </c>
      <c r="W40">
        <v>-115</v>
      </c>
      <c r="X40">
        <v>-270</v>
      </c>
      <c r="Y40">
        <v>95</v>
      </c>
      <c r="Z40">
        <f t="shared" ref="Z40:AB44" si="5">W40-W$39</f>
        <v>25</v>
      </c>
      <c r="AA40">
        <f t="shared" si="5"/>
        <v>55</v>
      </c>
      <c r="AB40">
        <f t="shared" si="5"/>
        <v>130</v>
      </c>
      <c r="AD40">
        <f>Z40-Z39</f>
        <v>25</v>
      </c>
      <c r="AE40">
        <f>(AA40-AA39)/2.5</f>
        <v>22</v>
      </c>
      <c r="AF40">
        <v>100</v>
      </c>
      <c r="AG40">
        <v>250</v>
      </c>
      <c r="AH40">
        <f t="shared" ref="AH40:AI44" si="6">AF40*AD40</f>
        <v>2500</v>
      </c>
      <c r="AI40">
        <f t="shared" si="6"/>
        <v>5500</v>
      </c>
    </row>
    <row r="41" spans="1:37" x14ac:dyDescent="0.25">
      <c r="A41" t="s">
        <v>31</v>
      </c>
      <c r="B41" t="s">
        <v>32</v>
      </c>
      <c r="E41">
        <v>2</v>
      </c>
      <c r="F41">
        <v>-36</v>
      </c>
      <c r="G41">
        <v>-140</v>
      </c>
      <c r="H41">
        <v>-280</v>
      </c>
      <c r="I41">
        <f t="shared" si="1"/>
        <v>36</v>
      </c>
      <c r="J41">
        <f t="shared" si="2"/>
        <v>135</v>
      </c>
      <c r="K41">
        <f t="shared" si="3"/>
        <v>0</v>
      </c>
      <c r="M41">
        <f t="shared" ref="M41:M44" si="7">I41-I40</f>
        <v>14</v>
      </c>
      <c r="N41">
        <f t="shared" ref="N41:N44" si="8">(J41-J40)/2.5</f>
        <v>28</v>
      </c>
      <c r="O41">
        <v>100</v>
      </c>
      <c r="P41">
        <v>250</v>
      </c>
      <c r="Q41">
        <f t="shared" si="4"/>
        <v>1400</v>
      </c>
      <c r="R41">
        <f t="shared" si="4"/>
        <v>7000</v>
      </c>
      <c r="V41">
        <v>2</v>
      </c>
      <c r="W41">
        <v>-105</v>
      </c>
      <c r="X41">
        <v>-190</v>
      </c>
      <c r="Y41">
        <v>-35</v>
      </c>
      <c r="Z41">
        <f t="shared" si="5"/>
        <v>35</v>
      </c>
      <c r="AA41">
        <f t="shared" si="5"/>
        <v>135</v>
      </c>
      <c r="AB41">
        <f t="shared" si="5"/>
        <v>0</v>
      </c>
      <c r="AD41">
        <f>Z41-Z40</f>
        <v>10</v>
      </c>
      <c r="AE41">
        <f>(AA41-AA40)/2.5</f>
        <v>32</v>
      </c>
      <c r="AF41">
        <v>100</v>
      </c>
      <c r="AG41">
        <v>250</v>
      </c>
      <c r="AH41">
        <f t="shared" si="6"/>
        <v>1000</v>
      </c>
      <c r="AI41">
        <f t="shared" si="6"/>
        <v>8000</v>
      </c>
    </row>
    <row r="42" spans="1:37" x14ac:dyDescent="0.25">
      <c r="A42" t="s">
        <v>33</v>
      </c>
      <c r="B42" t="s">
        <v>34</v>
      </c>
      <c r="E42">
        <v>3</v>
      </c>
      <c r="F42">
        <v>-32</v>
      </c>
      <c r="G42">
        <v>-60</v>
      </c>
      <c r="H42">
        <v>-260</v>
      </c>
      <c r="I42">
        <f t="shared" si="1"/>
        <v>40</v>
      </c>
      <c r="J42">
        <f t="shared" si="2"/>
        <v>215</v>
      </c>
      <c r="K42">
        <f t="shared" si="3"/>
        <v>20</v>
      </c>
      <c r="M42">
        <f t="shared" si="7"/>
        <v>4</v>
      </c>
      <c r="N42">
        <f t="shared" si="8"/>
        <v>32</v>
      </c>
      <c r="O42">
        <v>100</v>
      </c>
      <c r="P42">
        <v>250</v>
      </c>
      <c r="Q42">
        <f t="shared" si="4"/>
        <v>400</v>
      </c>
      <c r="R42">
        <f t="shared" si="4"/>
        <v>8000</v>
      </c>
      <c r="V42">
        <v>3</v>
      </c>
      <c r="W42">
        <v>-95</v>
      </c>
      <c r="X42">
        <v>-110</v>
      </c>
      <c r="Y42">
        <v>-10</v>
      </c>
      <c r="Z42">
        <f t="shared" si="5"/>
        <v>45</v>
      </c>
      <c r="AA42">
        <f t="shared" si="5"/>
        <v>215</v>
      </c>
      <c r="AB42">
        <f t="shared" si="5"/>
        <v>25</v>
      </c>
      <c r="AD42">
        <f>Z42-Z41</f>
        <v>10</v>
      </c>
      <c r="AE42">
        <f>(AA42-AA41)/2.5</f>
        <v>32</v>
      </c>
      <c r="AF42">
        <v>100</v>
      </c>
      <c r="AG42">
        <v>250</v>
      </c>
      <c r="AH42">
        <f t="shared" si="6"/>
        <v>1000</v>
      </c>
      <c r="AI42">
        <f t="shared" si="6"/>
        <v>8000</v>
      </c>
    </row>
    <row r="43" spans="1:37" x14ac:dyDescent="0.25">
      <c r="E43">
        <v>4</v>
      </c>
      <c r="F43">
        <v>-18</v>
      </c>
      <c r="G43">
        <v>10</v>
      </c>
      <c r="H43">
        <v>-110</v>
      </c>
      <c r="I43">
        <f t="shared" si="1"/>
        <v>54</v>
      </c>
      <c r="J43">
        <f t="shared" si="2"/>
        <v>285</v>
      </c>
      <c r="K43">
        <f t="shared" si="3"/>
        <v>170</v>
      </c>
      <c r="M43">
        <f t="shared" si="7"/>
        <v>14</v>
      </c>
      <c r="N43">
        <f t="shared" si="8"/>
        <v>28</v>
      </c>
      <c r="O43">
        <v>100</v>
      </c>
      <c r="P43">
        <v>250</v>
      </c>
      <c r="Q43">
        <f t="shared" si="4"/>
        <v>1400</v>
      </c>
      <c r="R43">
        <f t="shared" si="4"/>
        <v>7000</v>
      </c>
      <c r="V43">
        <v>4</v>
      </c>
      <c r="W43">
        <v>-80</v>
      </c>
      <c r="X43">
        <v>-40</v>
      </c>
      <c r="Y43">
        <v>150</v>
      </c>
      <c r="Z43">
        <f t="shared" si="5"/>
        <v>60</v>
      </c>
      <c r="AA43">
        <f t="shared" si="5"/>
        <v>285</v>
      </c>
      <c r="AB43">
        <f t="shared" si="5"/>
        <v>185</v>
      </c>
      <c r="AD43">
        <f>Z43-Z42</f>
        <v>15</v>
      </c>
      <c r="AE43">
        <f>(AA43-AA42)/2.5</f>
        <v>28</v>
      </c>
      <c r="AF43">
        <v>100</v>
      </c>
      <c r="AG43">
        <v>250</v>
      </c>
      <c r="AH43">
        <f t="shared" si="6"/>
        <v>1500</v>
      </c>
      <c r="AI43">
        <f t="shared" si="6"/>
        <v>7000</v>
      </c>
    </row>
    <row r="44" spans="1:37" x14ac:dyDescent="0.25">
      <c r="A44" t="s">
        <v>35</v>
      </c>
      <c r="E44">
        <v>5</v>
      </c>
      <c r="F44">
        <v>6</v>
      </c>
      <c r="G44">
        <v>80</v>
      </c>
      <c r="H44">
        <v>-270</v>
      </c>
      <c r="I44">
        <f t="shared" si="1"/>
        <v>78</v>
      </c>
      <c r="J44">
        <f t="shared" si="2"/>
        <v>355</v>
      </c>
      <c r="K44">
        <f t="shared" si="3"/>
        <v>10</v>
      </c>
      <c r="M44">
        <f t="shared" si="7"/>
        <v>24</v>
      </c>
      <c r="N44">
        <f t="shared" si="8"/>
        <v>28</v>
      </c>
      <c r="O44">
        <v>100</v>
      </c>
      <c r="P44">
        <v>250</v>
      </c>
      <c r="Q44">
        <f t="shared" si="4"/>
        <v>2400</v>
      </c>
      <c r="R44">
        <f t="shared" si="4"/>
        <v>7000</v>
      </c>
      <c r="V44">
        <v>5</v>
      </c>
      <c r="W44">
        <v>-65</v>
      </c>
      <c r="X44">
        <v>40</v>
      </c>
      <c r="Y44">
        <v>-15</v>
      </c>
      <c r="Z44">
        <f t="shared" si="5"/>
        <v>75</v>
      </c>
      <c r="AA44">
        <f t="shared" si="5"/>
        <v>365</v>
      </c>
      <c r="AB44">
        <f t="shared" si="5"/>
        <v>20</v>
      </c>
      <c r="AD44">
        <f>Z44-Z43</f>
        <v>15</v>
      </c>
      <c r="AE44">
        <f>(AA44-AA43)/2.5</f>
        <v>32</v>
      </c>
      <c r="AF44">
        <v>100</v>
      </c>
      <c r="AG44">
        <v>250</v>
      </c>
      <c r="AH44">
        <f t="shared" si="6"/>
        <v>1500</v>
      </c>
      <c r="AI44">
        <f t="shared" si="6"/>
        <v>8000</v>
      </c>
    </row>
    <row r="45" spans="1:37" x14ac:dyDescent="0.25">
      <c r="A45" t="s">
        <v>36</v>
      </c>
      <c r="B45" t="s">
        <v>37</v>
      </c>
      <c r="E45" t="s">
        <v>67</v>
      </c>
      <c r="F45">
        <f>(F44-F39)/5</f>
        <v>15.6</v>
      </c>
      <c r="G45">
        <f>(G44-G39)/5</f>
        <v>71</v>
      </c>
      <c r="H45">
        <f>(H44-H39)/5</f>
        <v>2</v>
      </c>
      <c r="L45" t="s">
        <v>72</v>
      </c>
      <c r="M45">
        <f>AVERAGE(M40:M44)</f>
        <v>15.6</v>
      </c>
      <c r="N45">
        <f>AVERAGE(N40:N44)</f>
        <v>28.4</v>
      </c>
      <c r="S45" t="s">
        <v>77</v>
      </c>
      <c r="T45">
        <f>SUM(Q40:R44)/SUM(O40:P44)</f>
        <v>24.742857142857144</v>
      </c>
      <c r="AC45" t="s">
        <v>72</v>
      </c>
      <c r="AD45">
        <f>AVERAGE(AD40:AD44)</f>
        <v>15</v>
      </c>
      <c r="AE45">
        <f>AVERAGE(AE40:AE44)</f>
        <v>29.2</v>
      </c>
      <c r="AJ45" t="s">
        <v>77</v>
      </c>
      <c r="AK45">
        <f>SUM(AH40:AI44)/SUM(AF40:AG44)</f>
        <v>25.142857142857142</v>
      </c>
    </row>
    <row r="46" spans="1:37" x14ac:dyDescent="0.25">
      <c r="A46" t="s">
        <v>38</v>
      </c>
      <c r="B46" t="s">
        <v>39</v>
      </c>
      <c r="L46" t="s">
        <v>82</v>
      </c>
      <c r="M46">
        <f>_xlfn.STDEV.P(M40:M44)</f>
        <v>7.0880180586677399</v>
      </c>
      <c r="N46">
        <f>_xlfn.STDEV.P(N40:N44)</f>
        <v>1.9595917942265426</v>
      </c>
      <c r="AC46" t="s">
        <v>82</v>
      </c>
      <c r="AD46">
        <f>_xlfn.STDEV.P(AD40:AD44)</f>
        <v>5.4772255750516612</v>
      </c>
      <c r="AE46">
        <f>_xlfn.STDEV.P(AE40:AE44)</f>
        <v>3.9191835884530848</v>
      </c>
    </row>
    <row r="47" spans="1:37" x14ac:dyDescent="0.25">
      <c r="A47" t="s">
        <v>40</v>
      </c>
      <c r="B47" t="s">
        <v>41</v>
      </c>
      <c r="L47" t="s">
        <v>83</v>
      </c>
      <c r="M47">
        <f>_xlfn.STDEV.P(M40:M44,AD40:AD44)</f>
        <v>6.3411355449950761</v>
      </c>
      <c r="N47">
        <f>_xlfn.STDEV.P(N40:N44,AE40:AE44)</f>
        <v>3.1240998703626617</v>
      </c>
      <c r="Z47" t="s">
        <v>68</v>
      </c>
    </row>
    <row r="48" spans="1:37" x14ac:dyDescent="0.25">
      <c r="I48" t="s">
        <v>68</v>
      </c>
      <c r="Z48">
        <v>0</v>
      </c>
      <c r="AA48">
        <f>Z39</f>
        <v>0</v>
      </c>
    </row>
    <row r="49" spans="1:27" x14ac:dyDescent="0.25">
      <c r="I49">
        <v>0</v>
      </c>
      <c r="J49" s="3">
        <f>I39</f>
        <v>0</v>
      </c>
      <c r="Z49">
        <v>100</v>
      </c>
      <c r="AA49">
        <f t="shared" ref="AA49:AA53" si="9">Z40</f>
        <v>25</v>
      </c>
    </row>
    <row r="50" spans="1:27" x14ac:dyDescent="0.25">
      <c r="A50" t="s">
        <v>42</v>
      </c>
      <c r="I50">
        <v>100</v>
      </c>
      <c r="J50" s="3">
        <f>I40</f>
        <v>22</v>
      </c>
      <c r="Z50">
        <v>200</v>
      </c>
      <c r="AA50">
        <f t="shared" si="9"/>
        <v>35</v>
      </c>
    </row>
    <row r="51" spans="1:27" x14ac:dyDescent="0.25">
      <c r="A51" t="s">
        <v>43</v>
      </c>
      <c r="I51">
        <v>200</v>
      </c>
      <c r="J51" s="3">
        <f>I41</f>
        <v>36</v>
      </c>
      <c r="Z51">
        <v>300</v>
      </c>
      <c r="AA51">
        <f t="shared" si="9"/>
        <v>45</v>
      </c>
    </row>
    <row r="52" spans="1:27" x14ac:dyDescent="0.25">
      <c r="I52">
        <v>300</v>
      </c>
      <c r="J52" s="3">
        <f>I42</f>
        <v>40</v>
      </c>
      <c r="Z52">
        <v>400</v>
      </c>
      <c r="AA52">
        <f t="shared" si="9"/>
        <v>60</v>
      </c>
    </row>
    <row r="53" spans="1:27" x14ac:dyDescent="0.25">
      <c r="A53" t="s">
        <v>44</v>
      </c>
      <c r="I53">
        <v>400</v>
      </c>
      <c r="J53" s="3">
        <f>I43</f>
        <v>54</v>
      </c>
      <c r="Z53">
        <v>500</v>
      </c>
      <c r="AA53">
        <f t="shared" si="9"/>
        <v>75</v>
      </c>
    </row>
    <row r="54" spans="1:27" x14ac:dyDescent="0.25">
      <c r="A54" t="s">
        <v>45</v>
      </c>
      <c r="B54" t="s">
        <v>46</v>
      </c>
      <c r="I54">
        <v>500</v>
      </c>
      <c r="J54" s="3">
        <f>I44</f>
        <v>78</v>
      </c>
    </row>
    <row r="55" spans="1:27" x14ac:dyDescent="0.25">
      <c r="J55" s="3"/>
      <c r="Z55" t="s">
        <v>69</v>
      </c>
    </row>
    <row r="56" spans="1:27" x14ac:dyDescent="0.25">
      <c r="A56" t="s">
        <v>47</v>
      </c>
      <c r="B56" t="s">
        <v>4</v>
      </c>
      <c r="I56" t="s">
        <v>69</v>
      </c>
      <c r="J56" s="3"/>
      <c r="Z56">
        <v>0</v>
      </c>
      <c r="AA56">
        <f>AA39</f>
        <v>0</v>
      </c>
    </row>
    <row r="57" spans="1:27" x14ac:dyDescent="0.25">
      <c r="A57" t="s">
        <v>48</v>
      </c>
      <c r="B57" t="s">
        <v>4</v>
      </c>
      <c r="C57" t="s">
        <v>51</v>
      </c>
      <c r="D57" s="2" t="s">
        <v>53</v>
      </c>
      <c r="I57">
        <v>0</v>
      </c>
      <c r="J57" s="3">
        <f>J39</f>
        <v>0</v>
      </c>
      <c r="Z57">
        <v>250</v>
      </c>
      <c r="AA57">
        <f t="shared" ref="AA57:AA61" si="10">AA40</f>
        <v>55</v>
      </c>
    </row>
    <row r="58" spans="1:27" x14ac:dyDescent="0.25">
      <c r="A58" t="s">
        <v>49</v>
      </c>
      <c r="B58" t="s">
        <v>50</v>
      </c>
      <c r="C58" t="s">
        <v>51</v>
      </c>
      <c r="D58" s="1" t="s">
        <v>52</v>
      </c>
      <c r="I58">
        <v>250</v>
      </c>
      <c r="J58" s="3">
        <f>J40</f>
        <v>65</v>
      </c>
      <c r="Z58">
        <v>500</v>
      </c>
      <c r="AA58">
        <f t="shared" si="10"/>
        <v>135</v>
      </c>
    </row>
    <row r="59" spans="1:27" x14ac:dyDescent="0.25">
      <c r="I59">
        <v>500</v>
      </c>
      <c r="J59" s="3">
        <f>J41</f>
        <v>135</v>
      </c>
      <c r="Z59">
        <v>750</v>
      </c>
      <c r="AA59">
        <f t="shared" si="10"/>
        <v>215</v>
      </c>
    </row>
    <row r="60" spans="1:27" x14ac:dyDescent="0.25">
      <c r="A60" t="s">
        <v>54</v>
      </c>
      <c r="I60">
        <v>750</v>
      </c>
      <c r="J60" s="3">
        <f>J42</f>
        <v>215</v>
      </c>
      <c r="Z60">
        <v>1000</v>
      </c>
      <c r="AA60">
        <f t="shared" si="10"/>
        <v>285</v>
      </c>
    </row>
    <row r="61" spans="1:27" x14ac:dyDescent="0.25">
      <c r="A61" t="s">
        <v>55</v>
      </c>
      <c r="B61" t="s">
        <v>61</v>
      </c>
      <c r="C61" t="s">
        <v>58</v>
      </c>
      <c r="D61" t="s">
        <v>59</v>
      </c>
      <c r="I61">
        <v>1000</v>
      </c>
      <c r="J61" s="3">
        <f>J43</f>
        <v>285</v>
      </c>
      <c r="Z61">
        <v>1250</v>
      </c>
      <c r="AA61">
        <f t="shared" si="10"/>
        <v>365</v>
      </c>
    </row>
    <row r="62" spans="1:27" x14ac:dyDescent="0.25">
      <c r="A62" t="s">
        <v>56</v>
      </c>
      <c r="B62" t="s">
        <v>57</v>
      </c>
      <c r="I62">
        <v>1250</v>
      </c>
      <c r="J62" s="3">
        <f>J44</f>
        <v>355</v>
      </c>
    </row>
    <row r="64" spans="1:27" x14ac:dyDescent="0.25">
      <c r="A64" t="s">
        <v>60</v>
      </c>
      <c r="I64" t="s">
        <v>70</v>
      </c>
      <c r="Z64" t="s">
        <v>70</v>
      </c>
    </row>
    <row r="65" spans="1:29" x14ac:dyDescent="0.25">
      <c r="A65" t="s">
        <v>62</v>
      </c>
      <c r="B65">
        <v>250</v>
      </c>
      <c r="I65">
        <v>0</v>
      </c>
      <c r="J65">
        <v>0</v>
      </c>
      <c r="Z65">
        <v>0</v>
      </c>
      <c r="AA65">
        <v>0</v>
      </c>
    </row>
    <row r="66" spans="1:29" x14ac:dyDescent="0.25">
      <c r="A66" t="s">
        <v>63</v>
      </c>
      <c r="B66">
        <v>100</v>
      </c>
      <c r="I66">
        <v>1500</v>
      </c>
      <c r="J66">
        <f>I66*T45/100</f>
        <v>371.14285714285717</v>
      </c>
      <c r="Z66">
        <v>1500</v>
      </c>
      <c r="AA66">
        <f>Z66*AK45/100</f>
        <v>377.14285714285711</v>
      </c>
    </row>
    <row r="67" spans="1:29" x14ac:dyDescent="0.25">
      <c r="A67" t="s">
        <v>64</v>
      </c>
      <c r="B67" t="s">
        <v>34</v>
      </c>
    </row>
    <row r="68" spans="1:29" x14ac:dyDescent="0.25">
      <c r="H68" t="s">
        <v>78</v>
      </c>
      <c r="I68" t="s">
        <v>34</v>
      </c>
      <c r="K68" t="s">
        <v>80</v>
      </c>
      <c r="Y68" t="s">
        <v>79</v>
      </c>
      <c r="Z68" t="s">
        <v>34</v>
      </c>
    </row>
    <row r="69" spans="1:29" x14ac:dyDescent="0.25">
      <c r="I69" s="4">
        <f>J69/$T$45*100</f>
        <v>0</v>
      </c>
      <c r="J69" s="4">
        <f t="shared" ref="J69:J74" si="11">K39</f>
        <v>0</v>
      </c>
      <c r="K69" s="4"/>
      <c r="L69" t="e">
        <f t="shared" ref="L69:L74" si="12">K69/I69</f>
        <v>#DIV/0!</v>
      </c>
      <c r="Z69" s="4">
        <f>AA69/$AK$45*100</f>
        <v>0</v>
      </c>
      <c r="AA69" s="4">
        <f t="shared" ref="AA69:AA74" si="13">AB39</f>
        <v>0</v>
      </c>
      <c r="AB69" s="4"/>
      <c r="AC69" t="e">
        <f t="shared" ref="AC69:AC74" si="14">AB69/Z69</f>
        <v>#DIV/0!</v>
      </c>
    </row>
    <row r="70" spans="1:29" x14ac:dyDescent="0.25">
      <c r="I70" s="4">
        <f t="shared" ref="I70:I74" si="15">J70/$T$45*100</f>
        <v>525.40415704387988</v>
      </c>
      <c r="J70" s="4">
        <f t="shared" si="11"/>
        <v>130</v>
      </c>
      <c r="K70" s="4">
        <v>500</v>
      </c>
      <c r="L70">
        <f t="shared" si="12"/>
        <v>0.95164835164835171</v>
      </c>
      <c r="Z70" s="4">
        <f t="shared" ref="Z70:Z74" si="16">AA70/$AK$45*100</f>
        <v>517.04545454545462</v>
      </c>
      <c r="AA70" s="4">
        <f t="shared" si="13"/>
        <v>130</v>
      </c>
      <c r="AB70" s="4">
        <v>500</v>
      </c>
      <c r="AC70">
        <f t="shared" si="14"/>
        <v>0.96703296703296693</v>
      </c>
    </row>
    <row r="71" spans="1:29" x14ac:dyDescent="0.25">
      <c r="I71" s="4">
        <f t="shared" si="15"/>
        <v>0</v>
      </c>
      <c r="J71" s="4">
        <f t="shared" si="11"/>
        <v>0</v>
      </c>
      <c r="K71" s="4">
        <v>0</v>
      </c>
      <c r="L71" t="e">
        <f t="shared" si="12"/>
        <v>#DIV/0!</v>
      </c>
      <c r="Z71" s="4">
        <f t="shared" si="16"/>
        <v>0</v>
      </c>
      <c r="AA71" s="4">
        <f t="shared" si="13"/>
        <v>0</v>
      </c>
      <c r="AB71" s="4">
        <v>0</v>
      </c>
      <c r="AC71" t="e">
        <f t="shared" si="14"/>
        <v>#DIV/0!</v>
      </c>
    </row>
    <row r="72" spans="1:29" x14ac:dyDescent="0.25">
      <c r="I72" s="4">
        <f t="shared" si="15"/>
        <v>80.831408775981515</v>
      </c>
      <c r="J72" s="4">
        <f t="shared" si="11"/>
        <v>20</v>
      </c>
      <c r="K72" s="4">
        <v>100</v>
      </c>
      <c r="L72">
        <f t="shared" si="12"/>
        <v>1.2371428571428573</v>
      </c>
      <c r="Z72" s="4">
        <f t="shared" si="16"/>
        <v>99.431818181818187</v>
      </c>
      <c r="AA72" s="4">
        <f t="shared" si="13"/>
        <v>25</v>
      </c>
      <c r="AB72" s="4">
        <v>100</v>
      </c>
      <c r="AC72">
        <f t="shared" si="14"/>
        <v>1.0057142857142856</v>
      </c>
    </row>
    <row r="73" spans="1:29" x14ac:dyDescent="0.25">
      <c r="I73" s="4">
        <f t="shared" si="15"/>
        <v>687.06697459584291</v>
      </c>
      <c r="J73" s="4">
        <f t="shared" si="11"/>
        <v>170</v>
      </c>
      <c r="K73" s="4">
        <v>700</v>
      </c>
      <c r="L73">
        <f t="shared" si="12"/>
        <v>1.0188235294117647</v>
      </c>
      <c r="Z73" s="4">
        <f t="shared" si="16"/>
        <v>735.79545454545462</v>
      </c>
      <c r="AA73" s="4">
        <f t="shared" si="13"/>
        <v>185</v>
      </c>
      <c r="AB73" s="4">
        <v>700</v>
      </c>
      <c r="AC73">
        <f t="shared" si="14"/>
        <v>0.95135135135135129</v>
      </c>
    </row>
    <row r="74" spans="1:29" x14ac:dyDescent="0.25">
      <c r="I74" s="4">
        <f t="shared" si="15"/>
        <v>40.415704387990758</v>
      </c>
      <c r="J74" s="4">
        <f t="shared" si="11"/>
        <v>10</v>
      </c>
      <c r="K74" s="4">
        <v>50</v>
      </c>
      <c r="L74">
        <f t="shared" si="12"/>
        <v>1.2371428571428573</v>
      </c>
      <c r="Z74" s="4">
        <f t="shared" si="16"/>
        <v>79.545454545454547</v>
      </c>
      <c r="AA74" s="4">
        <f t="shared" si="13"/>
        <v>20</v>
      </c>
      <c r="AB74" s="4">
        <v>50</v>
      </c>
      <c r="AC74">
        <f t="shared" si="14"/>
        <v>0.62857142857142856</v>
      </c>
    </row>
    <row r="115" spans="5:20" x14ac:dyDescent="0.25">
      <c r="F115" t="s">
        <v>71</v>
      </c>
      <c r="I115" t="s">
        <v>73</v>
      </c>
      <c r="M115" t="s">
        <v>74</v>
      </c>
      <c r="O115" t="s">
        <v>76</v>
      </c>
      <c r="Q115" t="s">
        <v>75</v>
      </c>
    </row>
    <row r="116" spans="5:20" x14ac:dyDescent="0.25">
      <c r="F116">
        <v>100</v>
      </c>
      <c r="G116">
        <v>250</v>
      </c>
      <c r="H116" t="s">
        <v>34</v>
      </c>
      <c r="I116">
        <v>100</v>
      </c>
      <c r="J116">
        <v>250</v>
      </c>
      <c r="K116" t="s">
        <v>34</v>
      </c>
      <c r="M116">
        <v>100</v>
      </c>
      <c r="N116">
        <v>250</v>
      </c>
    </row>
    <row r="117" spans="5:20" x14ac:dyDescent="0.25">
      <c r="E117">
        <v>0</v>
      </c>
      <c r="F117">
        <v>-100</v>
      </c>
      <c r="G117">
        <v>-20</v>
      </c>
      <c r="H117">
        <v>-50</v>
      </c>
      <c r="I117">
        <f>F117-$F$117</f>
        <v>0</v>
      </c>
      <c r="J117">
        <f>G117-$G$117</f>
        <v>0</v>
      </c>
      <c r="K117">
        <f>H117-$H$117</f>
        <v>0</v>
      </c>
    </row>
    <row r="118" spans="5:20" x14ac:dyDescent="0.25">
      <c r="E118">
        <v>1</v>
      </c>
      <c r="F118">
        <v>-80</v>
      </c>
      <c r="G118">
        <v>70</v>
      </c>
      <c r="H118">
        <v>85</v>
      </c>
      <c r="I118">
        <f t="shared" ref="I118:I122" si="17">F118-$F$117</f>
        <v>20</v>
      </c>
      <c r="J118">
        <f t="shared" ref="J118:J122" si="18">G118-$G$117</f>
        <v>90</v>
      </c>
      <c r="K118">
        <f t="shared" ref="K118:K122" si="19">H118-$H$117</f>
        <v>135</v>
      </c>
      <c r="M118">
        <f>I118-I117</f>
        <v>20</v>
      </c>
      <c r="N118">
        <f>(J118-J117)/2.5</f>
        <v>36</v>
      </c>
      <c r="O118">
        <v>100</v>
      </c>
      <c r="P118">
        <v>250</v>
      </c>
      <c r="Q118">
        <f t="shared" ref="Q118:Q122" si="20">O118*M118</f>
        <v>2000</v>
      </c>
      <c r="R118">
        <f t="shared" ref="R118:R122" si="21">P118*N118</f>
        <v>9000</v>
      </c>
    </row>
    <row r="119" spans="5:20" x14ac:dyDescent="0.25">
      <c r="E119">
        <v>2</v>
      </c>
      <c r="F119">
        <v>-70</v>
      </c>
      <c r="G119">
        <v>140</v>
      </c>
      <c r="H119">
        <v>-50</v>
      </c>
      <c r="I119">
        <f t="shared" si="17"/>
        <v>30</v>
      </c>
      <c r="J119">
        <f t="shared" si="18"/>
        <v>160</v>
      </c>
      <c r="K119">
        <f t="shared" si="19"/>
        <v>0</v>
      </c>
      <c r="M119">
        <f t="shared" ref="M119:M122" si="22">I119-I118</f>
        <v>10</v>
      </c>
      <c r="N119">
        <f t="shared" ref="N119:N122" si="23">(J119-J118)/2.5</f>
        <v>28</v>
      </c>
      <c r="O119">
        <v>100</v>
      </c>
      <c r="P119">
        <v>250</v>
      </c>
      <c r="Q119">
        <f t="shared" si="20"/>
        <v>1000</v>
      </c>
      <c r="R119">
        <f t="shared" si="21"/>
        <v>7000</v>
      </c>
    </row>
    <row r="120" spans="5:20" x14ac:dyDescent="0.25">
      <c r="E120">
        <v>3</v>
      </c>
      <c r="F120">
        <v>-60</v>
      </c>
      <c r="G120">
        <v>220</v>
      </c>
      <c r="H120">
        <v>-35</v>
      </c>
      <c r="I120">
        <f t="shared" si="17"/>
        <v>40</v>
      </c>
      <c r="J120">
        <f t="shared" si="18"/>
        <v>240</v>
      </c>
      <c r="K120">
        <f t="shared" si="19"/>
        <v>15</v>
      </c>
      <c r="M120">
        <f t="shared" si="22"/>
        <v>10</v>
      </c>
      <c r="N120">
        <f t="shared" si="23"/>
        <v>32</v>
      </c>
      <c r="O120">
        <v>100</v>
      </c>
      <c r="P120">
        <v>250</v>
      </c>
      <c r="Q120">
        <f t="shared" si="20"/>
        <v>1000</v>
      </c>
      <c r="R120">
        <f t="shared" si="21"/>
        <v>8000</v>
      </c>
    </row>
    <row r="121" spans="5:20" x14ac:dyDescent="0.25">
      <c r="E121">
        <v>4</v>
      </c>
      <c r="F121">
        <v>-40</v>
      </c>
      <c r="G121">
        <v>300</v>
      </c>
      <c r="H121">
        <v>130</v>
      </c>
      <c r="I121">
        <f t="shared" si="17"/>
        <v>60</v>
      </c>
      <c r="J121">
        <f t="shared" si="18"/>
        <v>320</v>
      </c>
      <c r="K121">
        <f t="shared" si="19"/>
        <v>180</v>
      </c>
      <c r="M121">
        <f t="shared" si="22"/>
        <v>20</v>
      </c>
      <c r="N121">
        <f t="shared" si="23"/>
        <v>32</v>
      </c>
      <c r="O121">
        <v>100</v>
      </c>
      <c r="P121">
        <v>250</v>
      </c>
      <c r="Q121">
        <f t="shared" si="20"/>
        <v>2000</v>
      </c>
      <c r="R121">
        <f t="shared" si="21"/>
        <v>8000</v>
      </c>
    </row>
    <row r="122" spans="5:20" x14ac:dyDescent="0.25">
      <c r="E122">
        <v>5</v>
      </c>
      <c r="F122">
        <v>-20</v>
      </c>
      <c r="G122">
        <v>370</v>
      </c>
      <c r="H122">
        <v>-40</v>
      </c>
      <c r="I122">
        <f t="shared" si="17"/>
        <v>80</v>
      </c>
      <c r="J122">
        <f t="shared" si="18"/>
        <v>390</v>
      </c>
      <c r="K122">
        <f t="shared" si="19"/>
        <v>10</v>
      </c>
      <c r="M122">
        <f t="shared" si="22"/>
        <v>20</v>
      </c>
      <c r="N122">
        <f t="shared" si="23"/>
        <v>28</v>
      </c>
      <c r="O122">
        <v>100</v>
      </c>
      <c r="P122">
        <v>250</v>
      </c>
      <c r="Q122">
        <f t="shared" si="20"/>
        <v>2000</v>
      </c>
      <c r="R122">
        <f t="shared" si="21"/>
        <v>7000</v>
      </c>
    </row>
    <row r="123" spans="5:20" x14ac:dyDescent="0.25">
      <c r="E123" t="s">
        <v>67</v>
      </c>
      <c r="F123">
        <f>(F122-F117)/5</f>
        <v>16</v>
      </c>
      <c r="G123">
        <f>(G122-G117)/5</f>
        <v>78</v>
      </c>
      <c r="H123">
        <f>(H122-H117)/5</f>
        <v>2</v>
      </c>
      <c r="L123" t="s">
        <v>72</v>
      </c>
      <c r="M123">
        <f>AVERAGE(M118:M122)</f>
        <v>16</v>
      </c>
      <c r="N123">
        <f>AVERAGE(N118:N122)</f>
        <v>31.2</v>
      </c>
      <c r="S123" t="s">
        <v>77</v>
      </c>
      <c r="T123">
        <f>SUM(Q118:R122)/SUM(O118:P122)</f>
        <v>26.857142857142858</v>
      </c>
    </row>
    <row r="124" spans="5:20" x14ac:dyDescent="0.25">
      <c r="L124" t="s">
        <v>82</v>
      </c>
      <c r="M124">
        <f>_xlfn.STDEV.P(M118:M122)</f>
        <v>4.8989794855663558</v>
      </c>
      <c r="N124">
        <f>_xlfn.STDEV.P(N118:N122)</f>
        <v>2.9933259094191529</v>
      </c>
    </row>
    <row r="125" spans="5:20" x14ac:dyDescent="0.25">
      <c r="L125" t="s">
        <v>84</v>
      </c>
      <c r="M125">
        <f>M124/M47</f>
        <v>0.77257132430058473</v>
      </c>
      <c r="N125">
        <f>N124/N47</f>
        <v>0.95814027516081679</v>
      </c>
    </row>
    <row r="126" spans="5:20" x14ac:dyDescent="0.25">
      <c r="I126" t="s">
        <v>68</v>
      </c>
    </row>
    <row r="127" spans="5:20" x14ac:dyDescent="0.25">
      <c r="I127">
        <v>0</v>
      </c>
      <c r="J127">
        <v>0</v>
      </c>
    </row>
    <row r="128" spans="5:20" x14ac:dyDescent="0.25">
      <c r="I128">
        <v>100</v>
      </c>
      <c r="J128">
        <f>I118</f>
        <v>20</v>
      </c>
    </row>
    <row r="129" spans="9:10" x14ac:dyDescent="0.25">
      <c r="I129">
        <v>200</v>
      </c>
      <c r="J129">
        <f>I119</f>
        <v>30</v>
      </c>
    </row>
    <row r="130" spans="9:10" x14ac:dyDescent="0.25">
      <c r="I130">
        <v>300</v>
      </c>
      <c r="J130">
        <f>I120</f>
        <v>40</v>
      </c>
    </row>
    <row r="131" spans="9:10" x14ac:dyDescent="0.25">
      <c r="I131">
        <v>400</v>
      </c>
      <c r="J131">
        <f>I121</f>
        <v>60</v>
      </c>
    </row>
    <row r="132" spans="9:10" x14ac:dyDescent="0.25">
      <c r="I132">
        <v>500</v>
      </c>
      <c r="J132">
        <f>I122</f>
        <v>80</v>
      </c>
    </row>
    <row r="134" spans="9:10" x14ac:dyDescent="0.25">
      <c r="I134" t="s">
        <v>69</v>
      </c>
    </row>
    <row r="135" spans="9:10" x14ac:dyDescent="0.25">
      <c r="I135">
        <v>0</v>
      </c>
      <c r="J135">
        <v>0</v>
      </c>
    </row>
    <row r="136" spans="9:10" x14ac:dyDescent="0.25">
      <c r="I136">
        <v>250</v>
      </c>
      <c r="J136">
        <f>J118</f>
        <v>90</v>
      </c>
    </row>
    <row r="137" spans="9:10" x14ac:dyDescent="0.25">
      <c r="I137">
        <v>500</v>
      </c>
      <c r="J137">
        <f>J119</f>
        <v>160</v>
      </c>
    </row>
    <row r="138" spans="9:10" x14ac:dyDescent="0.25">
      <c r="I138">
        <v>750</v>
      </c>
      <c r="J138">
        <f>J120</f>
        <v>240</v>
      </c>
    </row>
    <row r="139" spans="9:10" x14ac:dyDescent="0.25">
      <c r="I139">
        <v>1000</v>
      </c>
      <c r="J139">
        <f>J121</f>
        <v>320</v>
      </c>
    </row>
    <row r="140" spans="9:10" x14ac:dyDescent="0.25">
      <c r="I140">
        <v>1250</v>
      </c>
      <c r="J140">
        <f>J122</f>
        <v>390</v>
      </c>
    </row>
    <row r="142" spans="9:10" x14ac:dyDescent="0.25">
      <c r="I142" t="s">
        <v>70</v>
      </c>
    </row>
    <row r="143" spans="9:10" x14ac:dyDescent="0.25">
      <c r="I143">
        <v>0</v>
      </c>
      <c r="J143">
        <v>0</v>
      </c>
    </row>
    <row r="144" spans="9:10" x14ac:dyDescent="0.25">
      <c r="I144">
        <v>1500</v>
      </c>
      <c r="J144">
        <f>I144*T123/100</f>
        <v>402.85714285714289</v>
      </c>
    </row>
    <row r="146" spans="8:12" x14ac:dyDescent="0.25">
      <c r="H146" t="s">
        <v>78</v>
      </c>
      <c r="I146" t="s">
        <v>34</v>
      </c>
      <c r="K146" t="s">
        <v>80</v>
      </c>
    </row>
    <row r="147" spans="8:12" x14ac:dyDescent="0.25">
      <c r="I147" s="4">
        <f>J147/$T$123*100</f>
        <v>0</v>
      </c>
      <c r="J147" s="4">
        <f t="shared" ref="J147:J152" si="24">K117</f>
        <v>0</v>
      </c>
      <c r="K147" s="4"/>
      <c r="L147" t="e">
        <f t="shared" ref="L147:L152" si="25">K147/I147</f>
        <v>#DIV/0!</v>
      </c>
    </row>
    <row r="148" spans="8:12" x14ac:dyDescent="0.25">
      <c r="I148" s="4">
        <f t="shared" ref="I148:I152" si="26">J148/$T$123*100</f>
        <v>502.65957446808505</v>
      </c>
      <c r="J148" s="4">
        <f t="shared" si="24"/>
        <v>135</v>
      </c>
      <c r="K148" s="4">
        <v>500</v>
      </c>
      <c r="L148">
        <f t="shared" si="25"/>
        <v>0.99470899470899476</v>
      </c>
    </row>
    <row r="149" spans="8:12" x14ac:dyDescent="0.25">
      <c r="I149" s="4">
        <f t="shared" si="26"/>
        <v>0</v>
      </c>
      <c r="J149" s="4">
        <f t="shared" si="24"/>
        <v>0</v>
      </c>
      <c r="K149" s="4">
        <v>0</v>
      </c>
      <c r="L149" t="e">
        <f t="shared" si="25"/>
        <v>#DIV/0!</v>
      </c>
    </row>
    <row r="150" spans="8:12" x14ac:dyDescent="0.25">
      <c r="I150" s="4">
        <f t="shared" si="26"/>
        <v>55.851063829787229</v>
      </c>
      <c r="J150" s="4">
        <f t="shared" si="24"/>
        <v>15</v>
      </c>
      <c r="K150" s="4">
        <v>100</v>
      </c>
      <c r="L150">
        <f t="shared" si="25"/>
        <v>1.7904761904761906</v>
      </c>
    </row>
    <row r="151" spans="8:12" x14ac:dyDescent="0.25">
      <c r="I151" s="4">
        <f t="shared" si="26"/>
        <v>670.21276595744678</v>
      </c>
      <c r="J151" s="4">
        <f t="shared" si="24"/>
        <v>180</v>
      </c>
      <c r="K151" s="4">
        <v>700</v>
      </c>
      <c r="L151">
        <f t="shared" si="25"/>
        <v>1.0444444444444445</v>
      </c>
    </row>
    <row r="152" spans="8:12" x14ac:dyDescent="0.25">
      <c r="I152" s="4">
        <f t="shared" si="26"/>
        <v>37.234042553191486</v>
      </c>
      <c r="J152" s="4">
        <f t="shared" si="24"/>
        <v>10</v>
      </c>
      <c r="K152" s="4">
        <v>50</v>
      </c>
      <c r="L152">
        <f t="shared" si="25"/>
        <v>1.342857142857143</v>
      </c>
    </row>
  </sheetData>
  <sortState xmlns:xlrd2="http://schemas.microsoft.com/office/spreadsheetml/2017/richdata2" ref="A3:B13">
    <sortCondition ref="A3:A13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Fuhrmann</dc:creator>
  <cp:lastModifiedBy>cagyos@sts2.onmicrosoft.com</cp:lastModifiedBy>
  <dcterms:created xsi:type="dcterms:W3CDTF">2026-04-16T11:34:56Z</dcterms:created>
  <dcterms:modified xsi:type="dcterms:W3CDTF">2026-06-05T01:00:12Z</dcterms:modified>
</cp:coreProperties>
</file>