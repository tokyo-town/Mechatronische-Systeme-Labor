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7_TU\Master Automatisierung und Robotische Systeme\Mechatronische Systeme Labor\AFM\"/>
    </mc:Choice>
  </mc:AlternateContent>
  <xr:revisionPtr revIDLastSave="0" documentId="13_ncr:1_{D9B8A663-E698-4C10-8509-8BB15CA6B18B}" xr6:coauthVersionLast="47" xr6:coauthVersionMax="47" xr10:uidLastSave="{00000000-0000-0000-0000-000000000000}"/>
  <bookViews>
    <workbookView xWindow="-120" yWindow="-120" windowWidth="29040" windowHeight="15840" xr2:uid="{B84AB7BC-A147-41D7-A40F-EB74A04C0736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1" l="1"/>
  <c r="M27" i="1"/>
  <c r="M28" i="1"/>
  <c r="M29" i="1"/>
  <c r="M30" i="1"/>
  <c r="M31" i="1"/>
  <c r="L27" i="1"/>
  <c r="L28" i="1"/>
  <c r="L29" i="1"/>
  <c r="L30" i="1"/>
  <c r="L31" i="1"/>
  <c r="L26" i="1"/>
  <c r="Z70" i="1"/>
  <c r="Z71" i="1"/>
  <c r="Z72" i="1"/>
  <c r="Z73" i="1"/>
  <c r="Z74" i="1"/>
  <c r="Z69" i="1"/>
  <c r="AA74" i="1"/>
  <c r="AA73" i="1"/>
  <c r="AA72" i="1"/>
  <c r="AC72" i="1"/>
  <c r="AA71" i="1"/>
  <c r="AC71" i="1" s="1"/>
  <c r="AA70" i="1"/>
  <c r="AC70" i="1"/>
  <c r="AA69" i="1"/>
  <c r="AA66" i="1"/>
  <c r="M45" i="1"/>
  <c r="N45" i="1"/>
  <c r="AD45" i="1"/>
  <c r="AE45" i="1"/>
  <c r="AK45" i="1"/>
  <c r="I70" i="1"/>
  <c r="I71" i="1"/>
  <c r="I72" i="1"/>
  <c r="I73" i="1"/>
  <c r="I74" i="1"/>
  <c r="I69" i="1"/>
  <c r="J66" i="1"/>
  <c r="AI44" i="1"/>
  <c r="AH44" i="1"/>
  <c r="AI43" i="1"/>
  <c r="AH43" i="1"/>
  <c r="AI42" i="1"/>
  <c r="AH42" i="1"/>
  <c r="AI41" i="1"/>
  <c r="AH41" i="1"/>
  <c r="AI40" i="1"/>
  <c r="AH40" i="1"/>
  <c r="T45" i="1"/>
  <c r="R40" i="1"/>
  <c r="R41" i="1"/>
  <c r="R42" i="1"/>
  <c r="R43" i="1"/>
  <c r="R44" i="1"/>
  <c r="Q41" i="1"/>
  <c r="Q42" i="1"/>
  <c r="Q43" i="1"/>
  <c r="Q44" i="1"/>
  <c r="Q40" i="1"/>
  <c r="N40" i="1"/>
  <c r="AA48" i="1"/>
  <c r="AB44" i="1"/>
  <c r="AB43" i="1"/>
  <c r="AB42" i="1"/>
  <c r="AB41" i="1"/>
  <c r="AB40" i="1"/>
  <c r="AB39" i="1"/>
  <c r="AA44" i="1"/>
  <c r="AA43" i="1"/>
  <c r="AA42" i="1"/>
  <c r="AA59" i="1" s="1"/>
  <c r="AA41" i="1"/>
  <c r="AA58" i="1" s="1"/>
  <c r="AA40" i="1"/>
  <c r="AA39" i="1"/>
  <c r="AA56" i="1" s="1"/>
  <c r="Z40" i="1"/>
  <c r="AA49" i="1" s="1"/>
  <c r="Z41" i="1"/>
  <c r="AA50" i="1" s="1"/>
  <c r="Z42" i="1"/>
  <c r="AA51" i="1" s="1"/>
  <c r="Z43" i="1"/>
  <c r="AA52" i="1" s="1"/>
  <c r="Z44" i="1"/>
  <c r="AD44" i="1" s="1"/>
  <c r="Z39" i="1"/>
  <c r="K40" i="1"/>
  <c r="J70" i="1" s="1"/>
  <c r="K41" i="1"/>
  <c r="J71" i="1" s="1"/>
  <c r="K42" i="1"/>
  <c r="J72" i="1" s="1"/>
  <c r="K43" i="1"/>
  <c r="J73" i="1" s="1"/>
  <c r="K44" i="1"/>
  <c r="J74" i="1" s="1"/>
  <c r="K39" i="1"/>
  <c r="J69" i="1" s="1"/>
  <c r="H45" i="1"/>
  <c r="J40" i="1"/>
  <c r="J58" i="1" s="1"/>
  <c r="J41" i="1"/>
  <c r="J59" i="1" s="1"/>
  <c r="J42" i="1"/>
  <c r="J60" i="1" s="1"/>
  <c r="J43" i="1"/>
  <c r="J61" i="1" s="1"/>
  <c r="J44" i="1"/>
  <c r="J62" i="1" s="1"/>
  <c r="J39" i="1"/>
  <c r="I40" i="1"/>
  <c r="J50" i="1" s="1"/>
  <c r="I41" i="1"/>
  <c r="J51" i="1" s="1"/>
  <c r="I42" i="1"/>
  <c r="J52" i="1" s="1"/>
  <c r="I43" i="1"/>
  <c r="J53" i="1" s="1"/>
  <c r="I44" i="1"/>
  <c r="J54" i="1" s="1"/>
  <c r="I39" i="1"/>
  <c r="M40" i="1" s="1"/>
  <c r="F45" i="1"/>
  <c r="G45" i="1"/>
  <c r="E27" i="1"/>
  <c r="D3" i="1"/>
  <c r="D27" i="1"/>
  <c r="AC73" i="1" l="1"/>
  <c r="AC74" i="1"/>
  <c r="AC69" i="1"/>
  <c r="AD43" i="1"/>
  <c r="AD41" i="1"/>
  <c r="AD42" i="1"/>
  <c r="AA53" i="1"/>
  <c r="AD40" i="1"/>
  <c r="N44" i="1"/>
  <c r="N43" i="1"/>
  <c r="N42" i="1"/>
  <c r="N41" i="1"/>
  <c r="M43" i="1"/>
  <c r="M42" i="1"/>
  <c r="M44" i="1"/>
  <c r="M41" i="1"/>
  <c r="AE43" i="1"/>
  <c r="AE40" i="1"/>
  <c r="AE44" i="1"/>
  <c r="AE42" i="1"/>
  <c r="AA60" i="1"/>
  <c r="AE41" i="1"/>
  <c r="AA57" i="1"/>
  <c r="AA61" i="1"/>
  <c r="L74" i="1" l="1"/>
  <c r="L73" i="1"/>
  <c r="L71" i="1"/>
  <c r="L72" i="1"/>
  <c r="L69" i="1"/>
  <c r="L70" i="1"/>
</calcChain>
</file>

<file path=xl/sharedStrings.xml><?xml version="1.0" encoding="utf-8"?>
<sst xmlns="http://schemas.openxmlformats.org/spreadsheetml/2006/main" count="102" uniqueCount="81">
  <si>
    <t>V</t>
  </si>
  <si>
    <t>height</t>
  </si>
  <si>
    <t>Rail height</t>
  </si>
  <si>
    <t>scope_0</t>
  </si>
  <si>
    <t>sticky</t>
  </si>
  <si>
    <t>scope_1</t>
  </si>
  <si>
    <t>non-sticky</t>
  </si>
  <si>
    <t>4.</t>
  </si>
  <si>
    <t>2.</t>
  </si>
  <si>
    <t>3.</t>
  </si>
  <si>
    <t>Matlab plot</t>
  </si>
  <si>
    <t>230k</t>
  </si>
  <si>
    <t>48,2k</t>
  </si>
  <si>
    <t>226k</t>
  </si>
  <si>
    <t>orange</t>
  </si>
  <si>
    <t>SetPoint</t>
  </si>
  <si>
    <t>grün anschluss</t>
  </si>
  <si>
    <t>Sensor output</t>
  </si>
  <si>
    <t xml:space="preserve">weiß </t>
  </si>
  <si>
    <t>controller output</t>
  </si>
  <si>
    <t>rot anschluss</t>
  </si>
  <si>
    <t>V+</t>
  </si>
  <si>
    <t>schwarz anschluss</t>
  </si>
  <si>
    <t>V-</t>
  </si>
  <si>
    <t>GND</t>
  </si>
  <si>
    <t>blau anschluss</t>
  </si>
  <si>
    <t>1/RC=</t>
  </si>
  <si>
    <t>6.</t>
  </si>
  <si>
    <t>7.</t>
  </si>
  <si>
    <t>scope_3</t>
  </si>
  <si>
    <t>100um</t>
  </si>
  <si>
    <t>scope_4</t>
  </si>
  <si>
    <t>250um</t>
  </si>
  <si>
    <t>scope_5</t>
  </si>
  <si>
    <t>???</t>
  </si>
  <si>
    <t>8.</t>
  </si>
  <si>
    <t>scope_6</t>
  </si>
  <si>
    <t>250 schnell</t>
  </si>
  <si>
    <t>scope_7</t>
  </si>
  <si>
    <t>100 schnell</t>
  </si>
  <si>
    <t>scope_8</t>
  </si>
  <si>
    <t>??? Schnell</t>
  </si>
  <si>
    <t>9.</t>
  </si>
  <si>
    <t>matlab</t>
  </si>
  <si>
    <t>10.</t>
  </si>
  <si>
    <t>res freq</t>
  </si>
  <si>
    <t>20.4 Hz</t>
  </si>
  <si>
    <t>scope_9</t>
  </si>
  <si>
    <t>scope_10</t>
  </si>
  <si>
    <t>scope_11</t>
  </si>
  <si>
    <t>non sticky</t>
  </si>
  <si>
    <t>phase</t>
  </si>
  <si>
    <t>6.5°</t>
  </si>
  <si>
    <t>-24.5°</t>
  </si>
  <si>
    <t>11.</t>
  </si>
  <si>
    <t>Phase</t>
  </si>
  <si>
    <t>10mVpp</t>
  </si>
  <si>
    <t>step 6 mV</t>
  </si>
  <si>
    <t>lowpass</t>
  </si>
  <si>
    <t>14 Hz</t>
  </si>
  <si>
    <t>13.</t>
  </si>
  <si>
    <t>185°</t>
  </si>
  <si>
    <t>scope_12</t>
  </si>
  <si>
    <t>scope_13</t>
  </si>
  <si>
    <t>scope_14</t>
  </si>
  <si>
    <t>avg height</t>
  </si>
  <si>
    <t>1/2piRC=</t>
  </si>
  <si>
    <t>step</t>
  </si>
  <si>
    <t>100 µm</t>
  </si>
  <si>
    <t>250 µm</t>
  </si>
  <si>
    <t>Average</t>
  </si>
  <si>
    <t>readout</t>
  </si>
  <si>
    <t>avg</t>
  </si>
  <si>
    <t>norm</t>
  </si>
  <si>
    <t>delta (100 µm)</t>
  </si>
  <si>
    <t>weighted</t>
  </si>
  <si>
    <t>weights</t>
  </si>
  <si>
    <t>w avg</t>
  </si>
  <si>
    <t>slow scan</t>
  </si>
  <si>
    <t>fast scan</t>
  </si>
  <si>
    <t>assumed 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</si>
</sst>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" fontId="0" fillId="0" borderId="0" xfId="0" applyNumberFormat="1"/>
    <xf numFmtId="0" fontId="0" fillId="0" borderId="0" xfId="0" quotePrefix="1"/>
    <xf numFmtId="1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Measured</a:t>
            </a:r>
            <a:r>
              <a:rPr lang="en-US" b="1" baseline="0"/>
              <a:t> Cantilever H</a:t>
            </a:r>
            <a:r>
              <a:rPr lang="en-US" b="1"/>
              <a:t>eight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9852817876932051E-2"/>
          <c:y val="0.16484444444444443"/>
          <c:w val="0.86831847841936427"/>
          <c:h val="0.53649588801399828"/>
        </c:manualLayout>
      </c:layout>
      <c:lineChart>
        <c:grouping val="standard"/>
        <c:varyColors val="0"/>
        <c:ser>
          <c:idx val="1"/>
          <c:order val="0"/>
          <c:tx>
            <c:strRef>
              <c:f>Tabelle1!$B$2</c:f>
              <c:strCache>
                <c:ptCount val="1"/>
                <c:pt idx="0">
                  <c:v>height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810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Tabelle1!$A$3:$A$13</c:f>
              <c:numCache>
                <c:formatCode>General</c:formatCode>
                <c:ptCount val="11"/>
                <c:pt idx="0">
                  <c:v>-0.5</c:v>
                </c:pt>
                <c:pt idx="1">
                  <c:v>-0.4</c:v>
                </c:pt>
                <c:pt idx="2">
                  <c:v>-0.3</c:v>
                </c:pt>
                <c:pt idx="3">
                  <c:v>-0.2</c:v>
                </c:pt>
                <c:pt idx="4">
                  <c:v>-0.1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0.3</c:v>
                </c:pt>
                <c:pt idx="9">
                  <c:v>0.4</c:v>
                </c:pt>
                <c:pt idx="10">
                  <c:v>0.5</c:v>
                </c:pt>
              </c:numCache>
            </c:numRef>
          </c:cat>
          <c:val>
            <c:numRef>
              <c:f>Tabelle1!$B$3:$B$13</c:f>
              <c:numCache>
                <c:formatCode>General</c:formatCode>
                <c:ptCount val="11"/>
                <c:pt idx="0">
                  <c:v>11.1</c:v>
                </c:pt>
                <c:pt idx="1">
                  <c:v>11.3</c:v>
                </c:pt>
                <c:pt idx="2">
                  <c:v>11.8</c:v>
                </c:pt>
                <c:pt idx="3">
                  <c:v>12</c:v>
                </c:pt>
                <c:pt idx="4">
                  <c:v>12.05</c:v>
                </c:pt>
                <c:pt idx="5">
                  <c:v>12.4</c:v>
                </c:pt>
                <c:pt idx="6">
                  <c:v>12.7</c:v>
                </c:pt>
                <c:pt idx="7">
                  <c:v>13</c:v>
                </c:pt>
                <c:pt idx="8">
                  <c:v>13.4</c:v>
                </c:pt>
                <c:pt idx="9">
                  <c:v>13.6</c:v>
                </c:pt>
                <c:pt idx="10">
                  <c:v>13.8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32-45A1-9401-68F5A6251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7329711"/>
        <c:axId val="2117337391"/>
      </c:lineChart>
      <c:catAx>
        <c:axId val="21173297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 b="1"/>
                  <a:t>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337391"/>
        <c:crosses val="autoZero"/>
        <c:auto val="1"/>
        <c:lblAlgn val="ctr"/>
        <c:lblOffset val="100"/>
        <c:noMultiLvlLbl val="0"/>
      </c:catAx>
      <c:valAx>
        <c:axId val="2117337391"/>
        <c:scaling>
          <c:orientation val="minMax"/>
          <c:min val="1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 b="1"/>
                  <a:t>mm</a:t>
                </a:r>
              </a:p>
            </c:rich>
          </c:tx>
          <c:layout>
            <c:manualLayout>
              <c:xMode val="edge"/>
              <c:yMode val="edge"/>
              <c:x val="3.4722222222222224E-2"/>
              <c:y val="6.5969903762029769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329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AFM</a:t>
            </a:r>
            <a:r>
              <a:rPr lang="de-DE" b="1" baseline="0"/>
              <a:t> Readout Voltage and Height</a:t>
            </a:r>
            <a:br>
              <a:rPr lang="de-DE" b="1" baseline="0"/>
            </a:br>
            <a:r>
              <a:rPr lang="de-DE" b="1" baseline="0"/>
              <a:t>(slow scan)</a:t>
            </a:r>
            <a:endParaRPr lang="de-D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1358477343806532E-2"/>
          <c:y val="0.225777111031049"/>
          <c:w val="0.67090229671536605"/>
          <c:h val="0.58952026391620516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Tabelle1!$I$48</c:f>
              <c:strCache>
                <c:ptCount val="1"/>
                <c:pt idx="0">
                  <c:v>100 µm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Tabelle1!$I$49:$I$54</c:f>
              <c:numCache>
                <c:formatCode>General</c:formatCode>
                <c:ptCount val="6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</c:numCache>
            </c:numRef>
          </c:xVal>
          <c:yVal>
            <c:numRef>
              <c:f>Tabelle1!$J$49:$J$54</c:f>
              <c:numCache>
                <c:formatCode>General</c:formatCode>
                <c:ptCount val="6"/>
                <c:pt idx="0">
                  <c:v>0</c:v>
                </c:pt>
                <c:pt idx="1">
                  <c:v>22</c:v>
                </c:pt>
                <c:pt idx="2">
                  <c:v>36</c:v>
                </c:pt>
                <c:pt idx="3">
                  <c:v>40</c:v>
                </c:pt>
                <c:pt idx="4">
                  <c:v>54</c:v>
                </c:pt>
                <c:pt idx="5">
                  <c:v>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68-4806-9DB1-84053C6C9B43}"/>
            </c:ext>
          </c:extLst>
        </c:ser>
        <c:ser>
          <c:idx val="1"/>
          <c:order val="1"/>
          <c:tx>
            <c:strRef>
              <c:f>Tabelle1!$I$56</c:f>
              <c:strCache>
                <c:ptCount val="1"/>
                <c:pt idx="0">
                  <c:v>250 µm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Tabelle1!$I$57:$I$62</c:f>
              <c:numCache>
                <c:formatCode>General</c:formatCode>
                <c:ptCount val="6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750</c:v>
                </c:pt>
                <c:pt idx="4">
                  <c:v>1000</c:v>
                </c:pt>
                <c:pt idx="5">
                  <c:v>1250</c:v>
                </c:pt>
              </c:numCache>
            </c:numRef>
          </c:xVal>
          <c:yVal>
            <c:numRef>
              <c:f>Tabelle1!$J$57:$J$62</c:f>
              <c:numCache>
                <c:formatCode>General</c:formatCode>
                <c:ptCount val="6"/>
                <c:pt idx="0">
                  <c:v>0</c:v>
                </c:pt>
                <c:pt idx="1">
                  <c:v>65</c:v>
                </c:pt>
                <c:pt idx="2">
                  <c:v>135</c:v>
                </c:pt>
                <c:pt idx="3">
                  <c:v>215</c:v>
                </c:pt>
                <c:pt idx="4">
                  <c:v>285</c:v>
                </c:pt>
                <c:pt idx="5">
                  <c:v>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168-4806-9DB1-84053C6C9B43}"/>
            </c:ext>
          </c:extLst>
        </c:ser>
        <c:ser>
          <c:idx val="2"/>
          <c:order val="2"/>
          <c:tx>
            <c:strRef>
              <c:f>Tabelle1!$I$64</c:f>
              <c:strCache>
                <c:ptCount val="1"/>
                <c:pt idx="0">
                  <c:v>Average</c:v>
                </c:pt>
              </c:strCache>
            </c:strRef>
          </c:tx>
          <c:spPr>
            <a:ln w="12700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Tabelle1!$I$65:$I$66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Tabelle1!$J$65:$J$66</c:f>
              <c:numCache>
                <c:formatCode>General</c:formatCode>
                <c:ptCount val="2"/>
                <c:pt idx="0">
                  <c:v>0</c:v>
                </c:pt>
                <c:pt idx="1">
                  <c:v>371.14285714285717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168-4806-9DB1-84053C6C9B43}"/>
            </c:ext>
          </c:extLst>
        </c:ser>
        <c:ser>
          <c:idx val="3"/>
          <c:order val="3"/>
          <c:tx>
            <c:strRef>
              <c:f>Tabelle1!$I$68</c:f>
              <c:strCache>
                <c:ptCount val="1"/>
                <c:pt idx="0">
                  <c:v>???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Tabelle1!$I$69:$I$74</c:f>
              <c:numCache>
                <c:formatCode>0</c:formatCode>
                <c:ptCount val="6"/>
                <c:pt idx="0" formatCode="General">
                  <c:v>0</c:v>
                </c:pt>
                <c:pt idx="1">
                  <c:v>525.40415704387988</c:v>
                </c:pt>
                <c:pt idx="2">
                  <c:v>0</c:v>
                </c:pt>
                <c:pt idx="3">
                  <c:v>80.831408775981515</c:v>
                </c:pt>
                <c:pt idx="4">
                  <c:v>687.06697459584291</c:v>
                </c:pt>
                <c:pt idx="5">
                  <c:v>40.415704387990758</c:v>
                </c:pt>
              </c:numCache>
            </c:numRef>
          </c:xVal>
          <c:yVal>
            <c:numRef>
              <c:f>Tabelle1!$J$69:$J$74</c:f>
              <c:numCache>
                <c:formatCode>General</c:formatCode>
                <c:ptCount val="6"/>
                <c:pt idx="0">
                  <c:v>0</c:v>
                </c:pt>
                <c:pt idx="1">
                  <c:v>130</c:v>
                </c:pt>
                <c:pt idx="2">
                  <c:v>0</c:v>
                </c:pt>
                <c:pt idx="3">
                  <c:v>20</c:v>
                </c:pt>
                <c:pt idx="4">
                  <c:v>170</c:v>
                </c:pt>
                <c:pt idx="5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168-4806-9DB1-84053C6C9B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6746751"/>
        <c:axId val="1026745311"/>
      </c:scatterChart>
      <c:valAx>
        <c:axId val="1026746751"/>
        <c:scaling>
          <c:orientation val="minMax"/>
          <c:max val="1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b="1"/>
                  <a:t>Height (µm)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26745311"/>
        <c:crosses val="autoZero"/>
        <c:crossBetween val="midCat"/>
        <c:majorUnit val="250"/>
        <c:minorUnit val="50"/>
      </c:valAx>
      <c:valAx>
        <c:axId val="102674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b="1"/>
                  <a:t>Voltage (mV)</a:t>
                </a:r>
              </a:p>
            </c:rich>
          </c:tx>
          <c:layout>
            <c:manualLayout>
              <c:xMode val="edge"/>
              <c:yMode val="edge"/>
              <c:x val="3.0974073643502232E-2"/>
              <c:y val="0.122145572598284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26746751"/>
        <c:crosses val="autoZero"/>
        <c:crossBetween val="midCat"/>
        <c:majorUnit val="100"/>
        <c:minorUnit val="2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AFM</a:t>
            </a:r>
            <a:r>
              <a:rPr lang="de-DE" b="1" baseline="0"/>
              <a:t> Readout Voltage and Height</a:t>
            </a:r>
            <a:br>
              <a:rPr lang="de-DE" b="1" baseline="0"/>
            </a:br>
            <a:r>
              <a:rPr lang="de-DE" b="1" baseline="0"/>
              <a:t>(slow scan)</a:t>
            </a:r>
            <a:endParaRPr lang="de-D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0426434136193247"/>
          <c:y val="0.225777111031049"/>
          <c:w val="0.68100768986253524"/>
          <c:h val="0.58952026391620516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Tabelle1!$I$48</c:f>
              <c:strCache>
                <c:ptCount val="1"/>
                <c:pt idx="0">
                  <c:v>100 µm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Tabelle1!$I$49:$I$54</c:f>
              <c:numCache>
                <c:formatCode>General</c:formatCode>
                <c:ptCount val="6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</c:numCache>
            </c:numRef>
          </c:xVal>
          <c:yVal>
            <c:numRef>
              <c:f>Tabelle1!$J$49:$J$54</c:f>
              <c:numCache>
                <c:formatCode>General</c:formatCode>
                <c:ptCount val="6"/>
                <c:pt idx="0">
                  <c:v>0</c:v>
                </c:pt>
                <c:pt idx="1">
                  <c:v>22</c:v>
                </c:pt>
                <c:pt idx="2">
                  <c:v>36</c:v>
                </c:pt>
                <c:pt idx="3">
                  <c:v>40</c:v>
                </c:pt>
                <c:pt idx="4">
                  <c:v>54</c:v>
                </c:pt>
                <c:pt idx="5">
                  <c:v>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60-44EE-9FC4-09E762D509E9}"/>
            </c:ext>
          </c:extLst>
        </c:ser>
        <c:ser>
          <c:idx val="1"/>
          <c:order val="1"/>
          <c:tx>
            <c:strRef>
              <c:f>Tabelle1!$I$56</c:f>
              <c:strCache>
                <c:ptCount val="1"/>
                <c:pt idx="0">
                  <c:v>250 µm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Tabelle1!$I$57:$I$62</c:f>
              <c:numCache>
                <c:formatCode>General</c:formatCode>
                <c:ptCount val="6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750</c:v>
                </c:pt>
                <c:pt idx="4">
                  <c:v>1000</c:v>
                </c:pt>
                <c:pt idx="5">
                  <c:v>1250</c:v>
                </c:pt>
              </c:numCache>
            </c:numRef>
          </c:xVal>
          <c:yVal>
            <c:numRef>
              <c:f>Tabelle1!$J$57:$J$62</c:f>
              <c:numCache>
                <c:formatCode>General</c:formatCode>
                <c:ptCount val="6"/>
                <c:pt idx="0">
                  <c:v>0</c:v>
                </c:pt>
                <c:pt idx="1">
                  <c:v>65</c:v>
                </c:pt>
                <c:pt idx="2">
                  <c:v>135</c:v>
                </c:pt>
                <c:pt idx="3">
                  <c:v>215</c:v>
                </c:pt>
                <c:pt idx="4">
                  <c:v>285</c:v>
                </c:pt>
                <c:pt idx="5">
                  <c:v>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60-44EE-9FC4-09E762D50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6746751"/>
        <c:axId val="1026745311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Tabelle1!$I$64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12700" cap="rnd">
                    <a:solidFill>
                      <a:schemeClr val="accent4"/>
                    </a:solidFill>
                    <a:prstDash val="dash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Tabelle1!$I$65:$I$66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0</c:v>
                      </c:pt>
                      <c:pt idx="1">
                        <c:v>1500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Tabelle1!$J$65:$J$66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0</c:v>
                      </c:pt>
                      <c:pt idx="1">
                        <c:v>371.14285714285717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A360-44EE-9FC4-09E762D509E9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Tabelle1!$I$68</c15:sqref>
                        </c15:formulaRef>
                      </c:ext>
                    </c:extLst>
                    <c:strCache>
                      <c:ptCount val="1"/>
                      <c:pt idx="0">
                        <c:v>???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Tabelle1!$I$69:$I$74</c15:sqref>
                        </c15:formulaRef>
                      </c:ext>
                    </c:extLst>
                    <c:numCache>
                      <c:formatCode>0</c:formatCode>
                      <c:ptCount val="6"/>
                      <c:pt idx="0" formatCode="General">
                        <c:v>0</c:v>
                      </c:pt>
                      <c:pt idx="1">
                        <c:v>525.40415704387988</c:v>
                      </c:pt>
                      <c:pt idx="2">
                        <c:v>0</c:v>
                      </c:pt>
                      <c:pt idx="3">
                        <c:v>80.831408775981515</c:v>
                      </c:pt>
                      <c:pt idx="4">
                        <c:v>687.06697459584291</c:v>
                      </c:pt>
                      <c:pt idx="5">
                        <c:v>40.415704387990758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Tabelle1!$J$69:$J$74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</c:v>
                      </c:pt>
                      <c:pt idx="1">
                        <c:v>130</c:v>
                      </c:pt>
                      <c:pt idx="2">
                        <c:v>0</c:v>
                      </c:pt>
                      <c:pt idx="3">
                        <c:v>20</c:v>
                      </c:pt>
                      <c:pt idx="4">
                        <c:v>170</c:v>
                      </c:pt>
                      <c:pt idx="5">
                        <c:v>10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A360-44EE-9FC4-09E762D509E9}"/>
                  </c:ext>
                </c:extLst>
              </c15:ser>
            </c15:filteredScatterSeries>
          </c:ext>
        </c:extLst>
      </c:scatterChart>
      <c:valAx>
        <c:axId val="1026746751"/>
        <c:scaling>
          <c:orientation val="minMax"/>
          <c:max val="1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b="1"/>
                  <a:t>Height (µm)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26745311"/>
        <c:crosses val="autoZero"/>
        <c:crossBetween val="midCat"/>
        <c:majorUnit val="250"/>
        <c:minorUnit val="50"/>
      </c:valAx>
      <c:valAx>
        <c:axId val="102674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b="1"/>
                  <a:t>Voltage (mV)</a:t>
                </a:r>
              </a:p>
            </c:rich>
          </c:tx>
          <c:layout>
            <c:manualLayout>
              <c:xMode val="edge"/>
              <c:yMode val="edge"/>
              <c:x val="3.8717592054377789E-2"/>
              <c:y val="0.117978405543447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26746751"/>
        <c:crosses val="autoZero"/>
        <c:crossBetween val="midCat"/>
        <c:majorUnit val="100"/>
        <c:minorUnit val="2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AFM</a:t>
            </a:r>
            <a:r>
              <a:rPr lang="de-DE" b="1" baseline="0"/>
              <a:t> Readout Voltage and Height</a:t>
            </a:r>
            <a:br>
              <a:rPr lang="de-DE" b="1" baseline="0"/>
            </a:br>
            <a:r>
              <a:rPr lang="de-DE" b="1" baseline="0"/>
              <a:t>(fast scan)</a:t>
            </a:r>
            <a:endParaRPr lang="de-D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458903257643323"/>
          <c:y val="0.225777111031049"/>
          <c:w val="0.64767174148273943"/>
          <c:h val="0.58952026391620516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Tabelle1!$Z$47</c:f>
              <c:strCache>
                <c:ptCount val="1"/>
                <c:pt idx="0">
                  <c:v>100 µm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Tabelle1!$Z$48:$Z$53</c:f>
              <c:numCache>
                <c:formatCode>General</c:formatCode>
                <c:ptCount val="6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</c:numCache>
            </c:numRef>
          </c:xVal>
          <c:yVal>
            <c:numRef>
              <c:f>Tabelle1!$AA$48:$AA$53</c:f>
              <c:numCache>
                <c:formatCode>General</c:formatCode>
                <c:ptCount val="6"/>
                <c:pt idx="0">
                  <c:v>0</c:v>
                </c:pt>
                <c:pt idx="1">
                  <c:v>25</c:v>
                </c:pt>
                <c:pt idx="2">
                  <c:v>35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05-4D74-89CE-1616A1F76A62}"/>
            </c:ext>
          </c:extLst>
        </c:ser>
        <c:ser>
          <c:idx val="1"/>
          <c:order val="1"/>
          <c:tx>
            <c:strRef>
              <c:f>Tabelle1!$Z$55</c:f>
              <c:strCache>
                <c:ptCount val="1"/>
                <c:pt idx="0">
                  <c:v>250 µm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Tabelle1!$Z$56:$Z$61</c:f>
              <c:numCache>
                <c:formatCode>General</c:formatCode>
                <c:ptCount val="6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750</c:v>
                </c:pt>
                <c:pt idx="4">
                  <c:v>1000</c:v>
                </c:pt>
                <c:pt idx="5">
                  <c:v>1250</c:v>
                </c:pt>
              </c:numCache>
            </c:numRef>
          </c:xVal>
          <c:yVal>
            <c:numRef>
              <c:f>Tabelle1!$AA$56:$AA$61</c:f>
              <c:numCache>
                <c:formatCode>General</c:formatCode>
                <c:ptCount val="6"/>
                <c:pt idx="0">
                  <c:v>0</c:v>
                </c:pt>
                <c:pt idx="1">
                  <c:v>55</c:v>
                </c:pt>
                <c:pt idx="2">
                  <c:v>135</c:v>
                </c:pt>
                <c:pt idx="3">
                  <c:v>215</c:v>
                </c:pt>
                <c:pt idx="4">
                  <c:v>285</c:v>
                </c:pt>
                <c:pt idx="5">
                  <c:v>365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05-4D74-89CE-1616A1F76A62}"/>
            </c:ext>
          </c:extLst>
        </c:ser>
        <c:ser>
          <c:idx val="2"/>
          <c:order val="2"/>
          <c:tx>
            <c:strRef>
              <c:f>Tabelle1!$I$64</c:f>
              <c:strCache>
                <c:ptCount val="1"/>
                <c:pt idx="0">
                  <c:v>Average</c:v>
                </c:pt>
              </c:strCache>
            </c:strRef>
          </c:tx>
          <c:spPr>
            <a:ln w="12700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Tabelle1!$I$65:$I$66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Tabelle1!$J$65:$J$66</c:f>
              <c:numCache>
                <c:formatCode>General</c:formatCode>
                <c:ptCount val="2"/>
                <c:pt idx="0">
                  <c:v>0</c:v>
                </c:pt>
                <c:pt idx="1">
                  <c:v>371.14285714285717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05-4D74-89CE-1616A1F76A62}"/>
            </c:ext>
          </c:extLst>
        </c:ser>
        <c:ser>
          <c:idx val="3"/>
          <c:order val="3"/>
          <c:tx>
            <c:strRef>
              <c:f>Tabelle1!$I$68</c:f>
              <c:strCache>
                <c:ptCount val="1"/>
                <c:pt idx="0">
                  <c:v>???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Tabelle1!$I$69:$I$74</c:f>
              <c:numCache>
                <c:formatCode>0</c:formatCode>
                <c:ptCount val="6"/>
                <c:pt idx="0" formatCode="General">
                  <c:v>0</c:v>
                </c:pt>
                <c:pt idx="1">
                  <c:v>525.40415704387988</c:v>
                </c:pt>
                <c:pt idx="2">
                  <c:v>0</c:v>
                </c:pt>
                <c:pt idx="3">
                  <c:v>80.831408775981515</c:v>
                </c:pt>
                <c:pt idx="4">
                  <c:v>687.06697459584291</c:v>
                </c:pt>
                <c:pt idx="5">
                  <c:v>40.415704387990758</c:v>
                </c:pt>
              </c:numCache>
            </c:numRef>
          </c:xVal>
          <c:yVal>
            <c:numRef>
              <c:f>Tabelle1!$J$69:$J$74</c:f>
              <c:numCache>
                <c:formatCode>General</c:formatCode>
                <c:ptCount val="6"/>
                <c:pt idx="0">
                  <c:v>0</c:v>
                </c:pt>
                <c:pt idx="1">
                  <c:v>130</c:v>
                </c:pt>
                <c:pt idx="2">
                  <c:v>0</c:v>
                </c:pt>
                <c:pt idx="3">
                  <c:v>20</c:v>
                </c:pt>
                <c:pt idx="4">
                  <c:v>170</c:v>
                </c:pt>
                <c:pt idx="5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05-4D74-89CE-1616A1F76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6746751"/>
        <c:axId val="1026745311"/>
      </c:scatterChart>
      <c:valAx>
        <c:axId val="1026746751"/>
        <c:scaling>
          <c:orientation val="minMax"/>
          <c:max val="1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b="1"/>
                  <a:t>Height (µm)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26745311"/>
        <c:crosses val="autoZero"/>
        <c:crossBetween val="midCat"/>
        <c:majorUnit val="250"/>
        <c:minorUnit val="50"/>
      </c:valAx>
      <c:valAx>
        <c:axId val="102674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b="1"/>
                  <a:t>Voltage (mV)</a:t>
                </a:r>
              </a:p>
            </c:rich>
          </c:tx>
          <c:layout>
            <c:manualLayout>
              <c:xMode val="edge"/>
              <c:yMode val="edge"/>
              <c:x val="2.5811728036251862E-2"/>
              <c:y val="0.126312739653121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26746751"/>
        <c:crosses val="autoZero"/>
        <c:crossBetween val="midCat"/>
        <c:majorUnit val="100"/>
        <c:minorUnit val="2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AFM</a:t>
            </a:r>
            <a:r>
              <a:rPr lang="de-DE" b="1" baseline="0"/>
              <a:t> Readout Voltage and Height</a:t>
            </a:r>
            <a:br>
              <a:rPr lang="de-DE" b="1" baseline="0"/>
            </a:br>
            <a:r>
              <a:rPr lang="de-DE" b="1" baseline="0"/>
              <a:t>(fast scan)</a:t>
            </a:r>
            <a:endParaRPr lang="de-D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1358477343806532E-2"/>
          <c:y val="0.225777111031049"/>
          <c:w val="0.69391355388066134"/>
          <c:h val="0.58952026391620516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Tabelle1!$Z$47</c:f>
              <c:strCache>
                <c:ptCount val="1"/>
                <c:pt idx="0">
                  <c:v>100 µm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Tabelle1!$Z$48:$Z$53</c:f>
              <c:numCache>
                <c:formatCode>General</c:formatCode>
                <c:ptCount val="6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</c:numCache>
            </c:numRef>
          </c:xVal>
          <c:yVal>
            <c:numRef>
              <c:f>Tabelle1!$AA$48:$AA$53</c:f>
              <c:numCache>
                <c:formatCode>General</c:formatCode>
                <c:ptCount val="6"/>
                <c:pt idx="0">
                  <c:v>0</c:v>
                </c:pt>
                <c:pt idx="1">
                  <c:v>25</c:v>
                </c:pt>
                <c:pt idx="2">
                  <c:v>35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5F-4363-97C5-9CF82FC49F12}"/>
            </c:ext>
          </c:extLst>
        </c:ser>
        <c:ser>
          <c:idx val="1"/>
          <c:order val="1"/>
          <c:tx>
            <c:strRef>
              <c:f>Tabelle1!$Z$55</c:f>
              <c:strCache>
                <c:ptCount val="1"/>
                <c:pt idx="0">
                  <c:v>250 µm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Tabelle1!$Z$56:$Z$61</c:f>
              <c:numCache>
                <c:formatCode>General</c:formatCode>
                <c:ptCount val="6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750</c:v>
                </c:pt>
                <c:pt idx="4">
                  <c:v>1000</c:v>
                </c:pt>
                <c:pt idx="5">
                  <c:v>1250</c:v>
                </c:pt>
              </c:numCache>
            </c:numRef>
          </c:xVal>
          <c:yVal>
            <c:numRef>
              <c:f>Tabelle1!$AA$56:$AA$61</c:f>
              <c:numCache>
                <c:formatCode>General</c:formatCode>
                <c:ptCount val="6"/>
                <c:pt idx="0">
                  <c:v>0</c:v>
                </c:pt>
                <c:pt idx="1">
                  <c:v>55</c:v>
                </c:pt>
                <c:pt idx="2">
                  <c:v>135</c:v>
                </c:pt>
                <c:pt idx="3">
                  <c:v>215</c:v>
                </c:pt>
                <c:pt idx="4">
                  <c:v>285</c:v>
                </c:pt>
                <c:pt idx="5">
                  <c:v>365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5F-4363-97C5-9CF82FC49F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6746751"/>
        <c:axId val="1026745311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Tabelle1!$I$64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12700" cap="rnd">
                    <a:solidFill>
                      <a:schemeClr val="accent4"/>
                    </a:solidFill>
                    <a:prstDash val="dash"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Tabelle1!$I$65:$I$66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0</c:v>
                      </c:pt>
                      <c:pt idx="1">
                        <c:v>1500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Tabelle1!$J$65:$J$66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0</c:v>
                      </c:pt>
                      <c:pt idx="1">
                        <c:v>371.14285714285717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15F-4363-97C5-9CF82FC49F12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Tabelle1!$I$68</c15:sqref>
                        </c15:formulaRef>
                      </c:ext>
                    </c:extLst>
                    <c:strCache>
                      <c:ptCount val="1"/>
                      <c:pt idx="0">
                        <c:v>???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Tabelle1!$I$69:$I$74</c15:sqref>
                        </c15:formulaRef>
                      </c:ext>
                    </c:extLst>
                    <c:numCache>
                      <c:formatCode>0</c:formatCode>
                      <c:ptCount val="6"/>
                      <c:pt idx="0" formatCode="General">
                        <c:v>0</c:v>
                      </c:pt>
                      <c:pt idx="1">
                        <c:v>525.40415704387988</c:v>
                      </c:pt>
                      <c:pt idx="2">
                        <c:v>0</c:v>
                      </c:pt>
                      <c:pt idx="3">
                        <c:v>80.831408775981515</c:v>
                      </c:pt>
                      <c:pt idx="4">
                        <c:v>687.06697459584291</c:v>
                      </c:pt>
                      <c:pt idx="5">
                        <c:v>40.415704387990758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Tabelle1!$J$69:$J$74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</c:v>
                      </c:pt>
                      <c:pt idx="1">
                        <c:v>130</c:v>
                      </c:pt>
                      <c:pt idx="2">
                        <c:v>0</c:v>
                      </c:pt>
                      <c:pt idx="3">
                        <c:v>20</c:v>
                      </c:pt>
                      <c:pt idx="4">
                        <c:v>170</c:v>
                      </c:pt>
                      <c:pt idx="5">
                        <c:v>10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D15F-4363-97C5-9CF82FC49F12}"/>
                  </c:ext>
                </c:extLst>
              </c15:ser>
            </c15:filteredScatterSeries>
          </c:ext>
        </c:extLst>
      </c:scatterChart>
      <c:valAx>
        <c:axId val="1026746751"/>
        <c:scaling>
          <c:orientation val="minMax"/>
          <c:max val="1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b="1"/>
                  <a:t>Height (µm)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26745311"/>
        <c:crosses val="autoZero"/>
        <c:crossBetween val="midCat"/>
        <c:majorUnit val="250"/>
        <c:minorUnit val="50"/>
      </c:valAx>
      <c:valAx>
        <c:axId val="102674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b="1"/>
                  <a:t>Voltage (mV)</a:t>
                </a:r>
              </a:p>
            </c:rich>
          </c:tx>
          <c:layout>
            <c:manualLayout>
              <c:xMode val="edge"/>
              <c:yMode val="edge"/>
              <c:x val="2.8392900839877045E-2"/>
              <c:y val="0.117978405543447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26746751"/>
        <c:crosses val="autoZero"/>
        <c:crossBetween val="midCat"/>
        <c:majorUnit val="100"/>
        <c:minorUnit val="2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Height of Unknown Profile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8.2783042540216401E-2"/>
          <c:y val="0.11188377608235291"/>
          <c:w val="0.70487116117557058"/>
          <c:h val="0.52346535691270868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Tabelle1!$K$68</c:f>
              <c:strCache>
                <c:ptCount val="1"/>
                <c:pt idx="0">
                  <c:v>assumed height</c:v>
                </c:pt>
              </c:strCache>
            </c:strRef>
          </c:tx>
          <c:spPr>
            <a:pattFill prst="ltUpDiag">
              <a:fgClr>
                <a:sysClr val="windowText" lastClr="000000">
                  <a:lumMod val="65000"/>
                  <a:lumOff val="35000"/>
                </a:sys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val>
            <c:numRef>
              <c:f>Tabelle1!$K$70:$K$74</c:f>
              <c:numCache>
                <c:formatCode>General</c:formatCode>
                <c:ptCount val="5"/>
                <c:pt idx="0">
                  <c:v>500</c:v>
                </c:pt>
                <c:pt idx="1">
                  <c:v>0</c:v>
                </c:pt>
                <c:pt idx="2">
                  <c:v>100</c:v>
                </c:pt>
                <c:pt idx="3">
                  <c:v>700</c:v>
                </c:pt>
                <c:pt idx="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26-441D-B83E-34BC2EC3A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26559727"/>
        <c:axId val="1826557807"/>
      </c:barChart>
      <c:barChart>
        <c:barDir val="col"/>
        <c:grouping val="clustered"/>
        <c:varyColors val="0"/>
        <c:ser>
          <c:idx val="0"/>
          <c:order val="0"/>
          <c:tx>
            <c:strRef>
              <c:f>Tabelle1!$H$68</c:f>
              <c:strCache>
                <c:ptCount val="1"/>
                <c:pt idx="0">
                  <c:v>slow scan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Tabelle1!$I$70:$I$74</c:f>
              <c:numCache>
                <c:formatCode>0</c:formatCode>
                <c:ptCount val="5"/>
                <c:pt idx="0">
                  <c:v>525.40415704387988</c:v>
                </c:pt>
                <c:pt idx="1">
                  <c:v>0</c:v>
                </c:pt>
                <c:pt idx="2">
                  <c:v>80.831408775981515</c:v>
                </c:pt>
                <c:pt idx="3">
                  <c:v>687.06697459584291</c:v>
                </c:pt>
                <c:pt idx="4">
                  <c:v>40.415704387990758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26-441D-B83E-34BC2EC3AF9D}"/>
            </c:ext>
          </c:extLst>
        </c:ser>
        <c:ser>
          <c:idx val="1"/>
          <c:order val="1"/>
          <c:tx>
            <c:strRef>
              <c:f>Tabelle1!$Y$68</c:f>
              <c:strCache>
                <c:ptCount val="1"/>
                <c:pt idx="0">
                  <c:v>fast scan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Tabelle1!$Z$70:$Z$74</c:f>
              <c:numCache>
                <c:formatCode>0</c:formatCode>
                <c:ptCount val="5"/>
                <c:pt idx="0">
                  <c:v>517.04545454545462</c:v>
                </c:pt>
                <c:pt idx="1">
                  <c:v>0</c:v>
                </c:pt>
                <c:pt idx="2">
                  <c:v>99.431818181818187</c:v>
                </c:pt>
                <c:pt idx="3">
                  <c:v>735.79545454545462</c:v>
                </c:pt>
                <c:pt idx="4">
                  <c:v>79.545454545454547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26-441D-B83E-34BC2EC3A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57685263"/>
        <c:axId val="1757667503"/>
      </c:barChart>
      <c:catAx>
        <c:axId val="1826559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b="1"/>
                  <a:t>Measuring Point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26557807"/>
        <c:crosses val="autoZero"/>
        <c:auto val="1"/>
        <c:lblAlgn val="ctr"/>
        <c:lblOffset val="100"/>
        <c:noMultiLvlLbl val="0"/>
      </c:catAx>
      <c:valAx>
        <c:axId val="182655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b="1"/>
                  <a:t>Height</a:t>
                </a:r>
                <a:r>
                  <a:rPr lang="de-DE" b="1" baseline="0"/>
                  <a:t> </a:t>
                </a:r>
                <a:r>
                  <a:rPr lang="de-DE" b="1"/>
                  <a:t>(µm)</a:t>
                </a:r>
              </a:p>
            </c:rich>
          </c:tx>
          <c:layout>
            <c:manualLayout>
              <c:xMode val="edge"/>
              <c:yMode val="edge"/>
              <c:x val="0.13430354456348936"/>
              <c:y val="4.420853767227579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26559727"/>
        <c:crosses val="autoZero"/>
        <c:crossBetween val="between"/>
        <c:minorUnit val="50"/>
      </c:valAx>
      <c:valAx>
        <c:axId val="1757667503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57685263"/>
        <c:crosses val="max"/>
        <c:crossBetween val="between"/>
      </c:valAx>
      <c:catAx>
        <c:axId val="1757685263"/>
        <c:scaling>
          <c:orientation val="minMax"/>
        </c:scaling>
        <c:delete val="1"/>
        <c:axPos val="b"/>
        <c:majorTickMark val="out"/>
        <c:minorTickMark val="none"/>
        <c:tickLblPos val="nextTo"/>
        <c:crossAx val="1757667503"/>
        <c:auto val="1"/>
        <c:lblAlgn val="ctr"/>
        <c:lblOffset val="100"/>
        <c:noMultiLvlLbl val="0"/>
      </c:catAx>
      <c:dTable>
        <c:showHorzBorder val="0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655320</xdr:colOff>
      <xdr:row>0</xdr:row>
      <xdr:rowOff>127635</xdr:rowOff>
    </xdr:from>
    <xdr:to>
      <xdr:col>10</xdr:col>
      <xdr:colOff>472440</xdr:colOff>
      <xdr:row>15</xdr:row>
      <xdr:rowOff>127635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4E91D4A-50E8-AA4B-32AD-636CAFDC89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666750</xdr:colOff>
      <xdr:row>7</xdr:row>
      <xdr:rowOff>19050</xdr:rowOff>
    </xdr:from>
    <xdr:to>
      <xdr:col>10</xdr:col>
      <xdr:colOff>209550</xdr:colOff>
      <xdr:row>9</xdr:row>
      <xdr:rowOff>9525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Rechteck 2">
              <a:extLst>
                <a:ext uri="{FF2B5EF4-FFF2-40B4-BE49-F238E27FC236}">
                  <a16:creationId xmlns:a16="http://schemas.microsoft.com/office/drawing/2014/main" id="{7D5F5A13-BBB6-C0AD-482A-4F7996D62E7F}"/>
                </a:ext>
              </a:extLst>
            </xdr:cNvPr>
            <xdr:cNvSpPr/>
          </xdr:nvSpPr>
          <xdr:spPr>
            <a:xfrm>
              <a:off x="6762750" y="1352550"/>
              <a:ext cx="1066800" cy="37147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accent2"/>
            </a:fontRef>
          </xdr:style>
          <xdr:txBody>
            <a:bodyPr vertOverflow="clip" horzOverflow="clip" rtlCol="0" anchor="t"/>
            <a:lstStyle/>
            <a:p>
              <a:pPr algn="l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≈</m:t>
                    </m:r>
                    <m:r>
                      <a:rPr lang="de-AT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0.27 </m:t>
                    </m:r>
                    <m:f>
                      <m:fPr>
                        <m:ctrlPr>
                          <a:rPr lang="de-AT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de-AT" sz="1100" b="0" i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mm</m:t>
                        </m:r>
                      </m:num>
                      <m:den>
                        <m:r>
                          <a:rPr lang="de-AT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100</m:t>
                        </m:r>
                        <m:r>
                          <m:rPr>
                            <m:nor/>
                          </m:rPr>
                          <a:rPr lang="de-AT" sz="1100" b="0" i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de-AT" sz="1100" b="0" i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mV</m:t>
                        </m:r>
                      </m:den>
                    </m:f>
                  </m:oMath>
                </m:oMathPara>
              </a14:m>
              <a:endParaRPr lang="de-DE" sz="1100"/>
            </a:p>
          </xdr:txBody>
        </xdr:sp>
      </mc:Choice>
      <mc:Fallback>
        <xdr:sp macro="" textlink="">
          <xdr:nvSpPr>
            <xdr:cNvPr id="3" name="Rechteck 2">
              <a:extLst>
                <a:ext uri="{FF2B5EF4-FFF2-40B4-BE49-F238E27FC236}">
                  <a16:creationId xmlns:a16="http://schemas.microsoft.com/office/drawing/2014/main" id="{7D5F5A13-BBB6-C0AD-482A-4F7996D62E7F}"/>
                </a:ext>
              </a:extLst>
            </xdr:cNvPr>
            <xdr:cNvSpPr/>
          </xdr:nvSpPr>
          <xdr:spPr>
            <a:xfrm>
              <a:off x="6762750" y="1352550"/>
              <a:ext cx="1066800" cy="37147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accent2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de-DE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≈</a:t>
              </a:r>
              <a:r>
                <a:rPr lang="de-AT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0.27  "mm" /100" mV" </a:t>
              </a:r>
              <a:endParaRPr lang="de-DE" sz="1100"/>
            </a:p>
          </xdr:txBody>
        </xdr:sp>
      </mc:Fallback>
    </mc:AlternateContent>
    <xdr:clientData/>
  </xdr:twoCellAnchor>
  <xdr:twoCellAnchor>
    <xdr:from>
      <xdr:col>13</xdr:col>
      <xdr:colOff>486749</xdr:colOff>
      <xdr:row>49</xdr:row>
      <xdr:rowOff>79849</xdr:rowOff>
    </xdr:from>
    <xdr:to>
      <xdr:col>20</xdr:col>
      <xdr:colOff>72993</xdr:colOff>
      <xdr:row>65</xdr:row>
      <xdr:rowOff>79483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C6318A19-C85B-270F-26C5-1E268CBD32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623454</xdr:colOff>
      <xdr:row>69</xdr:row>
      <xdr:rowOff>0</xdr:rowOff>
    </xdr:from>
    <xdr:to>
      <xdr:col>20</xdr:col>
      <xdr:colOff>209698</xdr:colOff>
      <xdr:row>84</xdr:row>
      <xdr:rowOff>190134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B43FE8A0-A43C-4D37-B9AE-CB0FF3F66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124443</xdr:colOff>
      <xdr:row>48</xdr:row>
      <xdr:rowOff>35131</xdr:rowOff>
    </xdr:from>
    <xdr:to>
      <xdr:col>36</xdr:col>
      <xdr:colOff>472687</xdr:colOff>
      <xdr:row>64</xdr:row>
      <xdr:rowOff>34765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19B1ED45-B3A1-45CF-9B2A-D75AA97E4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0</xdr:colOff>
      <xdr:row>68</xdr:row>
      <xdr:rowOff>0</xdr:rowOff>
    </xdr:from>
    <xdr:to>
      <xdr:col>36</xdr:col>
      <xdr:colOff>348244</xdr:colOff>
      <xdr:row>83</xdr:row>
      <xdr:rowOff>190134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DAB4515C-FBF9-4B20-A7EC-B7906B5FAA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477849</xdr:colOff>
      <xdr:row>82</xdr:row>
      <xdr:rowOff>104856</xdr:rowOff>
    </xdr:from>
    <xdr:to>
      <xdr:col>28</xdr:col>
      <xdr:colOff>392204</xdr:colOff>
      <xdr:row>107</xdr:row>
      <xdr:rowOff>179295</xdr:rowOff>
    </xdr:to>
    <xdr:graphicFrame macro="">
      <xdr:nvGraphicFramePr>
        <xdr:cNvPr id="18" name="Diagramm 17">
          <a:extLst>
            <a:ext uri="{FF2B5EF4-FFF2-40B4-BE49-F238E27FC236}">
              <a16:creationId xmlns:a16="http://schemas.microsoft.com/office/drawing/2014/main" id="{E2F43A32-6E6F-4B82-BD61-8EC75BDB8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21238-07F0-4F79-A400-2B4B4E09B5E3}">
  <dimension ref="A1:AK74"/>
  <sheetViews>
    <sheetView tabSelected="1" topLeftCell="A42" zoomScale="85" zoomScaleNormal="85" workbookViewId="0">
      <selection activeCell="AE92" sqref="AE92"/>
    </sheetView>
  </sheetViews>
  <sheetFormatPr baseColWidth="10" defaultRowHeight="15" x14ac:dyDescent="0.25"/>
  <sheetData>
    <row r="1" spans="1:4" x14ac:dyDescent="0.25">
      <c r="A1" t="s">
        <v>8</v>
      </c>
    </row>
    <row r="2" spans="1:4" x14ac:dyDescent="0.25">
      <c r="A2" t="s">
        <v>0</v>
      </c>
      <c r="B2" t="s">
        <v>1</v>
      </c>
      <c r="C2" t="s">
        <v>2</v>
      </c>
      <c r="D2" t="s">
        <v>65</v>
      </c>
    </row>
    <row r="3" spans="1:4" x14ac:dyDescent="0.25">
      <c r="A3">
        <v>-0.5</v>
      </c>
      <c r="B3">
        <v>11.1</v>
      </c>
      <c r="C3">
        <v>45.7</v>
      </c>
      <c r="D3">
        <f>(B13-B3)/(A13-A3)</f>
        <v>2.7000000000000011</v>
      </c>
    </row>
    <row r="4" spans="1:4" x14ac:dyDescent="0.25">
      <c r="A4">
        <v>-0.4</v>
      </c>
      <c r="B4">
        <v>11.3</v>
      </c>
    </row>
    <row r="5" spans="1:4" x14ac:dyDescent="0.25">
      <c r="A5">
        <v>-0.3</v>
      </c>
      <c r="B5">
        <v>11.8</v>
      </c>
    </row>
    <row r="6" spans="1:4" x14ac:dyDescent="0.25">
      <c r="A6">
        <v>-0.2</v>
      </c>
      <c r="B6">
        <v>12</v>
      </c>
    </row>
    <row r="7" spans="1:4" x14ac:dyDescent="0.25">
      <c r="A7">
        <v>-0.1</v>
      </c>
      <c r="B7">
        <v>12.05</v>
      </c>
    </row>
    <row r="8" spans="1:4" x14ac:dyDescent="0.25">
      <c r="A8">
        <v>0</v>
      </c>
      <c r="B8">
        <v>12.4</v>
      </c>
    </row>
    <row r="9" spans="1:4" x14ac:dyDescent="0.25">
      <c r="A9">
        <v>0.1</v>
      </c>
      <c r="B9">
        <v>12.7</v>
      </c>
    </row>
    <row r="10" spans="1:4" x14ac:dyDescent="0.25">
      <c r="A10">
        <v>0.2</v>
      </c>
      <c r="B10">
        <v>13</v>
      </c>
    </row>
    <row r="11" spans="1:4" x14ac:dyDescent="0.25">
      <c r="A11">
        <v>0.3</v>
      </c>
      <c r="B11">
        <v>13.4</v>
      </c>
    </row>
    <row r="12" spans="1:4" x14ac:dyDescent="0.25">
      <c r="A12">
        <v>0.4</v>
      </c>
      <c r="B12">
        <v>13.6</v>
      </c>
    </row>
    <row r="13" spans="1:4" x14ac:dyDescent="0.25">
      <c r="A13">
        <v>0.5</v>
      </c>
      <c r="B13">
        <v>13.8</v>
      </c>
    </row>
    <row r="15" spans="1:4" x14ac:dyDescent="0.25">
      <c r="A15" t="s">
        <v>9</v>
      </c>
    </row>
    <row r="16" spans="1:4" x14ac:dyDescent="0.25">
      <c r="A16" t="s">
        <v>10</v>
      </c>
    </row>
    <row r="18" spans="1:13" x14ac:dyDescent="0.25">
      <c r="A18" t="s">
        <v>7</v>
      </c>
    </row>
    <row r="19" spans="1:13" x14ac:dyDescent="0.25">
      <c r="A19" t="s">
        <v>3</v>
      </c>
      <c r="B19" t="s">
        <v>4</v>
      </c>
    </row>
    <row r="20" spans="1:13" x14ac:dyDescent="0.25">
      <c r="A20" t="s">
        <v>5</v>
      </c>
      <c r="B20" t="s">
        <v>6</v>
      </c>
    </row>
    <row r="23" spans="1:13" x14ac:dyDescent="0.25">
      <c r="A23" t="s">
        <v>27</v>
      </c>
    </row>
    <row r="25" spans="1:13" x14ac:dyDescent="0.25">
      <c r="A25" t="s">
        <v>13</v>
      </c>
    </row>
    <row r="26" spans="1:13" x14ac:dyDescent="0.25">
      <c r="A26" t="s">
        <v>12</v>
      </c>
      <c r="D26" t="s">
        <v>26</v>
      </c>
      <c r="E26" t="s">
        <v>66</v>
      </c>
      <c r="I26">
        <v>-68</v>
      </c>
      <c r="J26">
        <v>-135</v>
      </c>
      <c r="L26">
        <f>I26-I$26</f>
        <v>0</v>
      </c>
      <c r="M26">
        <f>J26-J$26</f>
        <v>0</v>
      </c>
    </row>
    <row r="27" spans="1:13" x14ac:dyDescent="0.25">
      <c r="A27" t="s">
        <v>13</v>
      </c>
      <c r="D27">
        <f>1/(220000*100*10^-9)</f>
        <v>45.454545454545453</v>
      </c>
      <c r="E27">
        <f>1/(2*PI()*220000*100*10^-9)</f>
        <v>7.2343155950861515</v>
      </c>
      <c r="I27">
        <v>-46</v>
      </c>
      <c r="J27">
        <v>-115</v>
      </c>
      <c r="L27">
        <f t="shared" ref="L27:M31" si="0">I27-I$26</f>
        <v>22</v>
      </c>
      <c r="M27">
        <f t="shared" si="0"/>
        <v>20</v>
      </c>
    </row>
    <row r="28" spans="1:13" x14ac:dyDescent="0.25">
      <c r="A28" t="s">
        <v>11</v>
      </c>
      <c r="I28">
        <v>-24</v>
      </c>
      <c r="J28">
        <v>-95</v>
      </c>
      <c r="L28">
        <f t="shared" si="0"/>
        <v>44</v>
      </c>
      <c r="M28">
        <f t="shared" si="0"/>
        <v>40</v>
      </c>
    </row>
    <row r="29" spans="1:13" x14ac:dyDescent="0.25">
      <c r="I29">
        <v>-20</v>
      </c>
      <c r="J29">
        <v>-85</v>
      </c>
      <c r="L29">
        <f t="shared" si="0"/>
        <v>48</v>
      </c>
      <c r="M29">
        <f t="shared" si="0"/>
        <v>50</v>
      </c>
    </row>
    <row r="30" spans="1:13" x14ac:dyDescent="0.25">
      <c r="A30" t="s">
        <v>14</v>
      </c>
      <c r="B30" t="s">
        <v>17</v>
      </c>
      <c r="I30">
        <v>-6</v>
      </c>
      <c r="J30">
        <v>-70</v>
      </c>
      <c r="L30">
        <f t="shared" si="0"/>
        <v>62</v>
      </c>
      <c r="M30">
        <f t="shared" si="0"/>
        <v>65</v>
      </c>
    </row>
    <row r="31" spans="1:13" x14ac:dyDescent="0.25">
      <c r="A31" t="s">
        <v>16</v>
      </c>
      <c r="B31" t="s">
        <v>15</v>
      </c>
      <c r="I31">
        <v>10</v>
      </c>
      <c r="J31">
        <v>-55</v>
      </c>
      <c r="L31">
        <f t="shared" si="0"/>
        <v>78</v>
      </c>
      <c r="M31">
        <f t="shared" si="0"/>
        <v>80</v>
      </c>
    </row>
    <row r="32" spans="1:13" x14ac:dyDescent="0.25">
      <c r="A32" t="s">
        <v>20</v>
      </c>
      <c r="B32" t="s">
        <v>21</v>
      </c>
    </row>
    <row r="33" spans="1:37" x14ac:dyDescent="0.25">
      <c r="A33" t="s">
        <v>18</v>
      </c>
      <c r="B33" t="s">
        <v>19</v>
      </c>
    </row>
    <row r="34" spans="1:37" x14ac:dyDescent="0.25">
      <c r="A34" t="s">
        <v>22</v>
      </c>
      <c r="B34" t="s">
        <v>24</v>
      </c>
    </row>
    <row r="35" spans="1:37" x14ac:dyDescent="0.25">
      <c r="A35" t="s">
        <v>25</v>
      </c>
      <c r="B35" t="s">
        <v>23</v>
      </c>
    </row>
    <row r="37" spans="1:37" x14ac:dyDescent="0.25">
      <c r="F37" t="s">
        <v>71</v>
      </c>
      <c r="I37" t="s">
        <v>73</v>
      </c>
      <c r="M37" t="s">
        <v>74</v>
      </c>
      <c r="O37" t="s">
        <v>76</v>
      </c>
      <c r="Q37" t="s">
        <v>75</v>
      </c>
      <c r="W37" t="s">
        <v>71</v>
      </c>
      <c r="Z37" t="s">
        <v>73</v>
      </c>
      <c r="AD37" t="s">
        <v>74</v>
      </c>
      <c r="AF37" t="s">
        <v>76</v>
      </c>
      <c r="AH37" t="s">
        <v>75</v>
      </c>
    </row>
    <row r="38" spans="1:37" x14ac:dyDescent="0.25">
      <c r="F38">
        <v>100</v>
      </c>
      <c r="G38">
        <v>250</v>
      </c>
      <c r="H38" t="s">
        <v>34</v>
      </c>
      <c r="I38">
        <v>100</v>
      </c>
      <c r="J38">
        <v>250</v>
      </c>
      <c r="K38" t="s">
        <v>34</v>
      </c>
      <c r="M38">
        <v>100</v>
      </c>
      <c r="N38">
        <v>250</v>
      </c>
      <c r="W38">
        <v>100</v>
      </c>
      <c r="X38">
        <v>250</v>
      </c>
      <c r="Y38" t="s">
        <v>34</v>
      </c>
      <c r="Z38">
        <v>100</v>
      </c>
      <c r="AA38">
        <v>250</v>
      </c>
      <c r="AB38" t="s">
        <v>34</v>
      </c>
      <c r="AD38">
        <v>100</v>
      </c>
      <c r="AE38">
        <v>250</v>
      </c>
    </row>
    <row r="39" spans="1:37" x14ac:dyDescent="0.25">
      <c r="A39" t="s">
        <v>28</v>
      </c>
      <c r="E39">
        <v>0</v>
      </c>
      <c r="F39">
        <v>-72</v>
      </c>
      <c r="G39">
        <v>-275</v>
      </c>
      <c r="H39">
        <v>-280</v>
      </c>
      <c r="I39">
        <f>F39-$F$39</f>
        <v>0</v>
      </c>
      <c r="J39">
        <f>G39-$G$39</f>
        <v>0</v>
      </c>
      <c r="K39">
        <f>H39-$H$39</f>
        <v>0</v>
      </c>
      <c r="V39">
        <v>0</v>
      </c>
      <c r="W39">
        <v>-140</v>
      </c>
      <c r="X39">
        <v>-325</v>
      </c>
      <c r="Y39">
        <v>-35</v>
      </c>
      <c r="Z39">
        <f>W39-W$39</f>
        <v>0</v>
      </c>
      <c r="AA39">
        <f>X39-X$39</f>
        <v>0</v>
      </c>
      <c r="AB39">
        <f>Y39-Y$39</f>
        <v>0</v>
      </c>
    </row>
    <row r="40" spans="1:37" x14ac:dyDescent="0.25">
      <c r="A40" t="s">
        <v>29</v>
      </c>
      <c r="B40" t="s">
        <v>30</v>
      </c>
      <c r="E40">
        <v>1</v>
      </c>
      <c r="F40">
        <v>-50</v>
      </c>
      <c r="G40">
        <v>-210</v>
      </c>
      <c r="H40">
        <v>-150</v>
      </c>
      <c r="I40">
        <f t="shared" ref="I40:I44" si="1">F40-$F$39</f>
        <v>22</v>
      </c>
      <c r="J40">
        <f t="shared" ref="J40:J44" si="2">G40-$G$39</f>
        <v>65</v>
      </c>
      <c r="K40">
        <f t="shared" ref="K40:K44" si="3">H40-$H$39</f>
        <v>130</v>
      </c>
      <c r="M40">
        <f>I40-I39</f>
        <v>22</v>
      </c>
      <c r="N40">
        <f>(J40-J39)/2.5</f>
        <v>26</v>
      </c>
      <c r="O40">
        <v>100</v>
      </c>
      <c r="P40">
        <v>250</v>
      </c>
      <c r="Q40">
        <f>O40*M40</f>
        <v>2200</v>
      </c>
      <c r="R40">
        <f>P40*N40</f>
        <v>6500</v>
      </c>
      <c r="V40">
        <v>1</v>
      </c>
      <c r="W40">
        <v>-115</v>
      </c>
      <c r="X40">
        <v>-270</v>
      </c>
      <c r="Y40">
        <v>95</v>
      </c>
      <c r="Z40">
        <f t="shared" ref="Z40:AB44" si="4">W40-W$39</f>
        <v>25</v>
      </c>
      <c r="AA40">
        <f t="shared" si="4"/>
        <v>55</v>
      </c>
      <c r="AB40">
        <f t="shared" si="4"/>
        <v>130</v>
      </c>
      <c r="AD40">
        <f>Z40-Z39</f>
        <v>25</v>
      </c>
      <c r="AE40">
        <f>(AA40-AA39)/2.5</f>
        <v>22</v>
      </c>
      <c r="AF40">
        <v>100</v>
      </c>
      <c r="AG40">
        <v>250</v>
      </c>
      <c r="AH40">
        <f>AF40*AD40</f>
        <v>2500</v>
      </c>
      <c r="AI40">
        <f>AG40*AE40</f>
        <v>5500</v>
      </c>
    </row>
    <row r="41" spans="1:37" x14ac:dyDescent="0.25">
      <c r="A41" t="s">
        <v>31</v>
      </c>
      <c r="B41" t="s">
        <v>32</v>
      </c>
      <c r="E41">
        <v>2</v>
      </c>
      <c r="F41">
        <v>-36</v>
      </c>
      <c r="G41">
        <v>-140</v>
      </c>
      <c r="H41">
        <v>-280</v>
      </c>
      <c r="I41">
        <f t="shared" si="1"/>
        <v>36</v>
      </c>
      <c r="J41">
        <f t="shared" si="2"/>
        <v>135</v>
      </c>
      <c r="K41">
        <f t="shared" si="3"/>
        <v>0</v>
      </c>
      <c r="M41">
        <f t="shared" ref="M41:M44" si="5">I41-I40</f>
        <v>14</v>
      </c>
      <c r="N41">
        <f t="shared" ref="N41:N44" si="6">(J41-J40)/2.5</f>
        <v>28</v>
      </c>
      <c r="O41">
        <v>100</v>
      </c>
      <c r="P41">
        <v>250</v>
      </c>
      <c r="Q41">
        <f>O41*M41</f>
        <v>1400</v>
      </c>
      <c r="R41">
        <f>P41*N41</f>
        <v>7000</v>
      </c>
      <c r="V41">
        <v>2</v>
      </c>
      <c r="W41">
        <v>-105</v>
      </c>
      <c r="X41">
        <v>-190</v>
      </c>
      <c r="Y41">
        <v>-35</v>
      </c>
      <c r="Z41">
        <f t="shared" si="4"/>
        <v>35</v>
      </c>
      <c r="AA41">
        <f t="shared" si="4"/>
        <v>135</v>
      </c>
      <c r="AB41">
        <f t="shared" si="4"/>
        <v>0</v>
      </c>
      <c r="AD41">
        <f>Z41-Z40</f>
        <v>10</v>
      </c>
      <c r="AE41">
        <f>(AA41-AA40)/2.5</f>
        <v>32</v>
      </c>
      <c r="AF41">
        <v>100</v>
      </c>
      <c r="AG41">
        <v>250</v>
      </c>
      <c r="AH41">
        <f>AF41*AD41</f>
        <v>1000</v>
      </c>
      <c r="AI41">
        <f>AG41*AE41</f>
        <v>8000</v>
      </c>
    </row>
    <row r="42" spans="1:37" x14ac:dyDescent="0.25">
      <c r="A42" t="s">
        <v>33</v>
      </c>
      <c r="B42" t="s">
        <v>34</v>
      </c>
      <c r="E42">
        <v>3</v>
      </c>
      <c r="F42">
        <v>-32</v>
      </c>
      <c r="G42">
        <v>-60</v>
      </c>
      <c r="H42">
        <v>-260</v>
      </c>
      <c r="I42">
        <f t="shared" si="1"/>
        <v>40</v>
      </c>
      <c r="J42">
        <f t="shared" si="2"/>
        <v>215</v>
      </c>
      <c r="K42">
        <f t="shared" si="3"/>
        <v>20</v>
      </c>
      <c r="M42">
        <f t="shared" si="5"/>
        <v>4</v>
      </c>
      <c r="N42">
        <f t="shared" si="6"/>
        <v>32</v>
      </c>
      <c r="O42">
        <v>100</v>
      </c>
      <c r="P42">
        <v>250</v>
      </c>
      <c r="Q42">
        <f>O42*M42</f>
        <v>400</v>
      </c>
      <c r="R42">
        <f>P42*N42</f>
        <v>8000</v>
      </c>
      <c r="V42">
        <v>3</v>
      </c>
      <c r="W42">
        <v>-95</v>
      </c>
      <c r="X42">
        <v>-110</v>
      </c>
      <c r="Y42">
        <v>-10</v>
      </c>
      <c r="Z42">
        <f t="shared" si="4"/>
        <v>45</v>
      </c>
      <c r="AA42">
        <f t="shared" si="4"/>
        <v>215</v>
      </c>
      <c r="AB42">
        <f t="shared" si="4"/>
        <v>25</v>
      </c>
      <c r="AD42">
        <f>Z42-Z41</f>
        <v>10</v>
      </c>
      <c r="AE42">
        <f>(AA42-AA41)/2.5</f>
        <v>32</v>
      </c>
      <c r="AF42">
        <v>100</v>
      </c>
      <c r="AG42">
        <v>250</v>
      </c>
      <c r="AH42">
        <f>AF42*AD42</f>
        <v>1000</v>
      </c>
      <c r="AI42">
        <f>AG42*AE42</f>
        <v>8000</v>
      </c>
    </row>
    <row r="43" spans="1:37" x14ac:dyDescent="0.25">
      <c r="E43">
        <v>4</v>
      </c>
      <c r="F43">
        <v>-18</v>
      </c>
      <c r="G43">
        <v>10</v>
      </c>
      <c r="H43">
        <v>-110</v>
      </c>
      <c r="I43">
        <f t="shared" si="1"/>
        <v>54</v>
      </c>
      <c r="J43">
        <f t="shared" si="2"/>
        <v>285</v>
      </c>
      <c r="K43">
        <f t="shared" si="3"/>
        <v>170</v>
      </c>
      <c r="M43">
        <f t="shared" si="5"/>
        <v>14</v>
      </c>
      <c r="N43">
        <f t="shared" si="6"/>
        <v>28</v>
      </c>
      <c r="O43">
        <v>100</v>
      </c>
      <c r="P43">
        <v>250</v>
      </c>
      <c r="Q43">
        <f>O43*M43</f>
        <v>1400</v>
      </c>
      <c r="R43">
        <f>P43*N43</f>
        <v>7000</v>
      </c>
      <c r="V43">
        <v>4</v>
      </c>
      <c r="W43">
        <v>-80</v>
      </c>
      <c r="X43">
        <v>-40</v>
      </c>
      <c r="Y43">
        <v>150</v>
      </c>
      <c r="Z43">
        <f t="shared" si="4"/>
        <v>60</v>
      </c>
      <c r="AA43">
        <f t="shared" si="4"/>
        <v>285</v>
      </c>
      <c r="AB43">
        <f t="shared" si="4"/>
        <v>185</v>
      </c>
      <c r="AD43">
        <f>Z43-Z42</f>
        <v>15</v>
      </c>
      <c r="AE43">
        <f>(AA43-AA42)/2.5</f>
        <v>28</v>
      </c>
      <c r="AF43">
        <v>100</v>
      </c>
      <c r="AG43">
        <v>250</v>
      </c>
      <c r="AH43">
        <f>AF43*AD43</f>
        <v>1500</v>
      </c>
      <c r="AI43">
        <f>AG43*AE43</f>
        <v>7000</v>
      </c>
    </row>
    <row r="44" spans="1:37" x14ac:dyDescent="0.25">
      <c r="A44" t="s">
        <v>35</v>
      </c>
      <c r="E44">
        <v>5</v>
      </c>
      <c r="F44">
        <v>6</v>
      </c>
      <c r="G44">
        <v>80</v>
      </c>
      <c r="H44">
        <v>-270</v>
      </c>
      <c r="I44">
        <f t="shared" si="1"/>
        <v>78</v>
      </c>
      <c r="J44">
        <f t="shared" si="2"/>
        <v>355</v>
      </c>
      <c r="K44">
        <f t="shared" si="3"/>
        <v>10</v>
      </c>
      <c r="M44">
        <f t="shared" si="5"/>
        <v>24</v>
      </c>
      <c r="N44">
        <f t="shared" si="6"/>
        <v>28</v>
      </c>
      <c r="O44">
        <v>100</v>
      </c>
      <c r="P44">
        <v>250</v>
      </c>
      <c r="Q44">
        <f>O44*M44</f>
        <v>2400</v>
      </c>
      <c r="R44">
        <f>P44*N44</f>
        <v>7000</v>
      </c>
      <c r="V44">
        <v>5</v>
      </c>
      <c r="W44">
        <v>-65</v>
      </c>
      <c r="X44">
        <v>40</v>
      </c>
      <c r="Y44">
        <v>-15</v>
      </c>
      <c r="Z44">
        <f t="shared" si="4"/>
        <v>75</v>
      </c>
      <c r="AA44">
        <f t="shared" si="4"/>
        <v>365</v>
      </c>
      <c r="AB44">
        <f t="shared" si="4"/>
        <v>20</v>
      </c>
      <c r="AD44">
        <f>Z44-Z43</f>
        <v>15</v>
      </c>
      <c r="AE44">
        <f>(AA44-AA43)/2.5</f>
        <v>32</v>
      </c>
      <c r="AF44">
        <v>100</v>
      </c>
      <c r="AG44">
        <v>250</v>
      </c>
      <c r="AH44">
        <f>AF44*AD44</f>
        <v>1500</v>
      </c>
      <c r="AI44">
        <f>AG44*AE44</f>
        <v>8000</v>
      </c>
    </row>
    <row r="45" spans="1:37" x14ac:dyDescent="0.25">
      <c r="A45" t="s">
        <v>36</v>
      </c>
      <c r="B45" t="s">
        <v>37</v>
      </c>
      <c r="E45" t="s">
        <v>67</v>
      </c>
      <c r="F45">
        <f>(F44-F39)/5</f>
        <v>15.6</v>
      </c>
      <c r="G45">
        <f>(G44-G39)/5</f>
        <v>71</v>
      </c>
      <c r="H45">
        <f>(H44-H39)/5</f>
        <v>2</v>
      </c>
      <c r="L45" t="s">
        <v>72</v>
      </c>
      <c r="M45">
        <f>AVERAGE(M40:M44)</f>
        <v>15.6</v>
      </c>
      <c r="N45">
        <f>AVERAGE(N40:N44)</f>
        <v>28.4</v>
      </c>
      <c r="S45" t="s">
        <v>77</v>
      </c>
      <c r="T45">
        <f>SUM(Q40:R44)/SUM(O40:P44)</f>
        <v>24.742857142857144</v>
      </c>
      <c r="AC45" t="s">
        <v>72</v>
      </c>
      <c r="AD45">
        <f>AVERAGE(AD40:AD44)</f>
        <v>15</v>
      </c>
      <c r="AE45">
        <f>AVERAGE(AE40:AE44)</f>
        <v>29.2</v>
      </c>
      <c r="AJ45" t="s">
        <v>77</v>
      </c>
      <c r="AK45">
        <f>SUM(AH40:AI44)/SUM(AF40:AG44)</f>
        <v>25.142857142857142</v>
      </c>
    </row>
    <row r="46" spans="1:37" x14ac:dyDescent="0.25">
      <c r="A46" t="s">
        <v>38</v>
      </c>
      <c r="B46" t="s">
        <v>39</v>
      </c>
    </row>
    <row r="47" spans="1:37" x14ac:dyDescent="0.25">
      <c r="A47" t="s">
        <v>40</v>
      </c>
      <c r="B47" t="s">
        <v>41</v>
      </c>
      <c r="Z47" t="s">
        <v>68</v>
      </c>
    </row>
    <row r="48" spans="1:37" x14ac:dyDescent="0.25">
      <c r="I48" t="s">
        <v>68</v>
      </c>
      <c r="Z48">
        <v>0</v>
      </c>
      <c r="AA48">
        <f>Z39</f>
        <v>0</v>
      </c>
    </row>
    <row r="49" spans="1:27" x14ac:dyDescent="0.25">
      <c r="I49">
        <v>0</v>
      </c>
      <c r="J49">
        <v>0</v>
      </c>
      <c r="Z49">
        <v>100</v>
      </c>
      <c r="AA49">
        <f t="shared" ref="AA49:AA53" si="7">Z40</f>
        <v>25</v>
      </c>
    </row>
    <row r="50" spans="1:27" x14ac:dyDescent="0.25">
      <c r="A50" t="s">
        <v>42</v>
      </c>
      <c r="I50">
        <v>100</v>
      </c>
      <c r="J50">
        <f>I40</f>
        <v>22</v>
      </c>
      <c r="Z50">
        <v>200</v>
      </c>
      <c r="AA50">
        <f t="shared" si="7"/>
        <v>35</v>
      </c>
    </row>
    <row r="51" spans="1:27" x14ac:dyDescent="0.25">
      <c r="A51" t="s">
        <v>43</v>
      </c>
      <c r="I51">
        <v>200</v>
      </c>
      <c r="J51">
        <f>I41</f>
        <v>36</v>
      </c>
      <c r="Z51">
        <v>300</v>
      </c>
      <c r="AA51">
        <f t="shared" si="7"/>
        <v>45</v>
      </c>
    </row>
    <row r="52" spans="1:27" x14ac:dyDescent="0.25">
      <c r="I52">
        <v>300</v>
      </c>
      <c r="J52">
        <f>I42</f>
        <v>40</v>
      </c>
      <c r="Z52">
        <v>400</v>
      </c>
      <c r="AA52">
        <f t="shared" si="7"/>
        <v>60</v>
      </c>
    </row>
    <row r="53" spans="1:27" x14ac:dyDescent="0.25">
      <c r="A53" t="s">
        <v>44</v>
      </c>
      <c r="I53">
        <v>400</v>
      </c>
      <c r="J53">
        <f>I43</f>
        <v>54</v>
      </c>
      <c r="Z53">
        <v>500</v>
      </c>
      <c r="AA53">
        <f t="shared" si="7"/>
        <v>75</v>
      </c>
    </row>
    <row r="54" spans="1:27" x14ac:dyDescent="0.25">
      <c r="A54" t="s">
        <v>45</v>
      </c>
      <c r="B54" t="s">
        <v>46</v>
      </c>
      <c r="I54">
        <v>500</v>
      </c>
      <c r="J54">
        <f>I44</f>
        <v>78</v>
      </c>
    </row>
    <row r="55" spans="1:27" x14ac:dyDescent="0.25">
      <c r="Z55" t="s">
        <v>69</v>
      </c>
    </row>
    <row r="56" spans="1:27" x14ac:dyDescent="0.25">
      <c r="A56" t="s">
        <v>47</v>
      </c>
      <c r="B56" t="s">
        <v>4</v>
      </c>
      <c r="I56" t="s">
        <v>69</v>
      </c>
      <c r="Z56">
        <v>0</v>
      </c>
      <c r="AA56">
        <f>AA39</f>
        <v>0</v>
      </c>
    </row>
    <row r="57" spans="1:27" x14ac:dyDescent="0.25">
      <c r="A57" t="s">
        <v>48</v>
      </c>
      <c r="B57" t="s">
        <v>4</v>
      </c>
      <c r="C57" t="s">
        <v>51</v>
      </c>
      <c r="D57" s="2" t="s">
        <v>53</v>
      </c>
      <c r="I57">
        <v>0</v>
      </c>
      <c r="J57">
        <v>0</v>
      </c>
      <c r="Z57">
        <v>250</v>
      </c>
      <c r="AA57">
        <f t="shared" ref="AA57:AA61" si="8">AA40</f>
        <v>55</v>
      </c>
    </row>
    <row r="58" spans="1:27" x14ac:dyDescent="0.25">
      <c r="A58" t="s">
        <v>49</v>
      </c>
      <c r="B58" t="s">
        <v>50</v>
      </c>
      <c r="C58" t="s">
        <v>51</v>
      </c>
      <c r="D58" s="1" t="s">
        <v>52</v>
      </c>
      <c r="I58">
        <v>250</v>
      </c>
      <c r="J58">
        <f>J40</f>
        <v>65</v>
      </c>
      <c r="Z58">
        <v>500</v>
      </c>
      <c r="AA58">
        <f t="shared" si="8"/>
        <v>135</v>
      </c>
    </row>
    <row r="59" spans="1:27" x14ac:dyDescent="0.25">
      <c r="I59">
        <v>500</v>
      </c>
      <c r="J59">
        <f>J41</f>
        <v>135</v>
      </c>
      <c r="Z59">
        <v>750</v>
      </c>
      <c r="AA59">
        <f t="shared" si="8"/>
        <v>215</v>
      </c>
    </row>
    <row r="60" spans="1:27" x14ac:dyDescent="0.25">
      <c r="A60" t="s">
        <v>54</v>
      </c>
      <c r="I60">
        <v>750</v>
      </c>
      <c r="J60">
        <f>J42</f>
        <v>215</v>
      </c>
      <c r="Z60">
        <v>1000</v>
      </c>
      <c r="AA60">
        <f t="shared" si="8"/>
        <v>285</v>
      </c>
    </row>
    <row r="61" spans="1:27" x14ac:dyDescent="0.25">
      <c r="A61" t="s">
        <v>55</v>
      </c>
      <c r="B61" t="s">
        <v>61</v>
      </c>
      <c r="C61" t="s">
        <v>58</v>
      </c>
      <c r="D61" t="s">
        <v>59</v>
      </c>
      <c r="I61">
        <v>1000</v>
      </c>
      <c r="J61">
        <f>J43</f>
        <v>285</v>
      </c>
      <c r="Z61">
        <v>1250</v>
      </c>
      <c r="AA61">
        <f t="shared" si="8"/>
        <v>365</v>
      </c>
    </row>
    <row r="62" spans="1:27" x14ac:dyDescent="0.25">
      <c r="A62" t="s">
        <v>56</v>
      </c>
      <c r="B62" t="s">
        <v>57</v>
      </c>
      <c r="I62">
        <v>1250</v>
      </c>
      <c r="J62">
        <f>J44</f>
        <v>355</v>
      </c>
    </row>
    <row r="64" spans="1:27" x14ac:dyDescent="0.25">
      <c r="A64" t="s">
        <v>60</v>
      </c>
      <c r="I64" t="s">
        <v>70</v>
      </c>
      <c r="Z64" t="s">
        <v>70</v>
      </c>
    </row>
    <row r="65" spans="1:29" x14ac:dyDescent="0.25">
      <c r="A65" t="s">
        <v>62</v>
      </c>
      <c r="B65">
        <v>250</v>
      </c>
      <c r="I65">
        <v>0</v>
      </c>
      <c r="J65">
        <v>0</v>
      </c>
      <c r="Z65">
        <v>0</v>
      </c>
      <c r="AA65">
        <v>0</v>
      </c>
    </row>
    <row r="66" spans="1:29" x14ac:dyDescent="0.25">
      <c r="A66" t="s">
        <v>63</v>
      </c>
      <c r="B66">
        <v>100</v>
      </c>
      <c r="I66">
        <v>1500</v>
      </c>
      <c r="J66">
        <f>I66*T45/100</f>
        <v>371.14285714285717</v>
      </c>
      <c r="Z66">
        <v>1500</v>
      </c>
      <c r="AA66">
        <f>Z66*AK45/100</f>
        <v>377.14285714285711</v>
      </c>
    </row>
    <row r="67" spans="1:29" x14ac:dyDescent="0.25">
      <c r="A67" t="s">
        <v>64</v>
      </c>
      <c r="B67" t="s">
        <v>34</v>
      </c>
    </row>
    <row r="68" spans="1:29" x14ac:dyDescent="0.25">
      <c r="H68" t="s">
        <v>78</v>
      </c>
      <c r="I68" t="s">
        <v>34</v>
      </c>
      <c r="K68" t="s">
        <v>80</v>
      </c>
      <c r="Y68" t="s">
        <v>79</v>
      </c>
      <c r="Z68" t="s">
        <v>34</v>
      </c>
    </row>
    <row r="69" spans="1:29" x14ac:dyDescent="0.25">
      <c r="I69">
        <f>J69/$T$45*100</f>
        <v>0</v>
      </c>
      <c r="J69">
        <f>K39</f>
        <v>0</v>
      </c>
      <c r="L69" t="e">
        <f>K69/I69</f>
        <v>#DIV/0!</v>
      </c>
      <c r="Z69">
        <f>AA69/$AK$45*100</f>
        <v>0</v>
      </c>
      <c r="AA69">
        <f>AB39</f>
        <v>0</v>
      </c>
      <c r="AC69" t="e">
        <f>AB69/Z69</f>
        <v>#DIV/0!</v>
      </c>
    </row>
    <row r="70" spans="1:29" x14ac:dyDescent="0.25">
      <c r="I70" s="3">
        <f t="shared" ref="I70:I74" si="9">J70/$T$45*100</f>
        <v>525.40415704387988</v>
      </c>
      <c r="J70">
        <f>K40</f>
        <v>130</v>
      </c>
      <c r="K70">
        <v>500</v>
      </c>
      <c r="L70">
        <f>K70/I70</f>
        <v>0.95164835164835171</v>
      </c>
      <c r="Z70" s="3">
        <f t="shared" ref="Z70:Z74" si="10">AA70/$AK$45*100</f>
        <v>517.04545454545462</v>
      </c>
      <c r="AA70">
        <f>AB40</f>
        <v>130</v>
      </c>
      <c r="AB70">
        <v>500</v>
      </c>
      <c r="AC70">
        <f>AB70/Z70</f>
        <v>0.96703296703296693</v>
      </c>
    </row>
    <row r="71" spans="1:29" x14ac:dyDescent="0.25">
      <c r="I71" s="3">
        <f t="shared" si="9"/>
        <v>0</v>
      </c>
      <c r="J71">
        <f>K41</f>
        <v>0</v>
      </c>
      <c r="K71">
        <v>0</v>
      </c>
      <c r="L71" t="e">
        <f>K71/I71</f>
        <v>#DIV/0!</v>
      </c>
      <c r="Z71" s="3">
        <f t="shared" si="10"/>
        <v>0</v>
      </c>
      <c r="AA71">
        <f>AB41</f>
        <v>0</v>
      </c>
      <c r="AB71">
        <v>0</v>
      </c>
      <c r="AC71" t="e">
        <f>AB71/Z71</f>
        <v>#DIV/0!</v>
      </c>
    </row>
    <row r="72" spans="1:29" x14ac:dyDescent="0.25">
      <c r="I72" s="3">
        <f t="shared" si="9"/>
        <v>80.831408775981515</v>
      </c>
      <c r="J72">
        <f>K42</f>
        <v>20</v>
      </c>
      <c r="K72">
        <v>100</v>
      </c>
      <c r="L72">
        <f>K72/I72</f>
        <v>1.2371428571428573</v>
      </c>
      <c r="Z72" s="3">
        <f t="shared" si="10"/>
        <v>99.431818181818187</v>
      </c>
      <c r="AA72">
        <f>AB42</f>
        <v>25</v>
      </c>
      <c r="AB72">
        <v>100</v>
      </c>
      <c r="AC72">
        <f>AB72/Z72</f>
        <v>1.0057142857142856</v>
      </c>
    </row>
    <row r="73" spans="1:29" x14ac:dyDescent="0.25">
      <c r="I73" s="3">
        <f t="shared" si="9"/>
        <v>687.06697459584291</v>
      </c>
      <c r="J73">
        <f>K43</f>
        <v>170</v>
      </c>
      <c r="K73">
        <v>700</v>
      </c>
      <c r="L73">
        <f>K73/I73</f>
        <v>1.0188235294117647</v>
      </c>
      <c r="Z73" s="3">
        <f t="shared" si="10"/>
        <v>735.79545454545462</v>
      </c>
      <c r="AA73">
        <f>AB43</f>
        <v>185</v>
      </c>
      <c r="AB73">
        <v>700</v>
      </c>
      <c r="AC73">
        <f>AB73/Z73</f>
        <v>0.95135135135135129</v>
      </c>
    </row>
    <row r="74" spans="1:29" x14ac:dyDescent="0.25">
      <c r="I74" s="3">
        <f t="shared" si="9"/>
        <v>40.415704387990758</v>
      </c>
      <c r="J74">
        <f>K44</f>
        <v>10</v>
      </c>
      <c r="K74">
        <v>50</v>
      </c>
      <c r="L74">
        <f>K74/I74</f>
        <v>1.2371428571428573</v>
      </c>
      <c r="Z74" s="3">
        <f t="shared" si="10"/>
        <v>79.545454545454547</v>
      </c>
      <c r="AA74">
        <f>AB44</f>
        <v>20</v>
      </c>
      <c r="AB74">
        <v>50</v>
      </c>
      <c r="AC74">
        <f>AB74/Z74</f>
        <v>0.62857142857142856</v>
      </c>
    </row>
  </sheetData>
  <sortState xmlns:xlrd2="http://schemas.microsoft.com/office/spreadsheetml/2017/richdata2" ref="A3:B13">
    <sortCondition ref="A3:A13"/>
  </sortState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Heinrich Fuhrmann</dc:creator>
  <cp:lastModifiedBy>cagyos@sts2.onmicrosoft.com</cp:lastModifiedBy>
  <dcterms:created xsi:type="dcterms:W3CDTF">2026-04-16T11:34:56Z</dcterms:created>
  <dcterms:modified xsi:type="dcterms:W3CDTF">2026-05-13T08:21:57Z</dcterms:modified>
</cp:coreProperties>
</file>