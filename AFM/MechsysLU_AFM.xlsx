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7_TU\Master Automatisierung und Robotische Systeme\Mechatronische Systeme Labor\AFM\"/>
    </mc:Choice>
  </mc:AlternateContent>
  <xr:revisionPtr revIDLastSave="0" documentId="13_ncr:1_{4B54F4B2-102D-410C-BE7F-31807E6811B3}" xr6:coauthVersionLast="47" xr6:coauthVersionMax="47" xr10:uidLastSave="{00000000-0000-0000-0000-000000000000}"/>
  <bookViews>
    <workbookView xWindow="-28920" yWindow="-120" windowWidth="29040" windowHeight="15840" xr2:uid="{B84AB7BC-A147-41D7-A40F-EB74A04C0736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" l="1"/>
  <c r="J41" i="1"/>
  <c r="J42" i="1"/>
  <c r="J43" i="1"/>
  <c r="J44" i="1"/>
  <c r="J39" i="1"/>
  <c r="I40" i="1"/>
  <c r="I41" i="1"/>
  <c r="I42" i="1"/>
  <c r="I43" i="1"/>
  <c r="I44" i="1"/>
  <c r="I39" i="1"/>
  <c r="F45" i="1"/>
  <c r="G45" i="1"/>
  <c r="E27" i="1"/>
  <c r="D3" i="1"/>
  <c r="D27" i="1"/>
</calcChain>
</file>

<file path=xl/sharedStrings.xml><?xml version="1.0" encoding="utf-8"?>
<sst xmlns="http://schemas.openxmlformats.org/spreadsheetml/2006/main" count="75" uniqueCount="68">
  <si>
    <t>V</t>
  </si>
  <si>
    <t>height</t>
  </si>
  <si>
    <t>Rail height</t>
  </si>
  <si>
    <t>scope_0</t>
  </si>
  <si>
    <t>sticky</t>
  </si>
  <si>
    <t>scope_1</t>
  </si>
  <si>
    <t>non-sticky</t>
  </si>
  <si>
    <t>4.</t>
  </si>
  <si>
    <t>2.</t>
  </si>
  <si>
    <t>3.</t>
  </si>
  <si>
    <t>Matlab plot</t>
  </si>
  <si>
    <t>230k</t>
  </si>
  <si>
    <t>48,2k</t>
  </si>
  <si>
    <t>226k</t>
  </si>
  <si>
    <t>orange</t>
  </si>
  <si>
    <t>SetPoint</t>
  </si>
  <si>
    <t>grün anschluss</t>
  </si>
  <si>
    <t>Sensor output</t>
  </si>
  <si>
    <t xml:space="preserve">weiß </t>
  </si>
  <si>
    <t>controller output</t>
  </si>
  <si>
    <t>rot anschluss</t>
  </si>
  <si>
    <t>V+</t>
  </si>
  <si>
    <t>schwarz anschluss</t>
  </si>
  <si>
    <t>V-</t>
  </si>
  <si>
    <t>GND</t>
  </si>
  <si>
    <t>blau anschluss</t>
  </si>
  <si>
    <t>1/RC=</t>
  </si>
  <si>
    <t>6.</t>
  </si>
  <si>
    <t>7.</t>
  </si>
  <si>
    <t>scope_3</t>
  </si>
  <si>
    <t>100um</t>
  </si>
  <si>
    <t>scope_4</t>
  </si>
  <si>
    <t>250um</t>
  </si>
  <si>
    <t>scope_5</t>
  </si>
  <si>
    <t>???</t>
  </si>
  <si>
    <t>8.</t>
  </si>
  <si>
    <t>scope_6</t>
  </si>
  <si>
    <t>250 schnell</t>
  </si>
  <si>
    <t>scope_7</t>
  </si>
  <si>
    <t>100 schnell</t>
  </si>
  <si>
    <t>scope_8</t>
  </si>
  <si>
    <t>??? Schnell</t>
  </si>
  <si>
    <t>9.</t>
  </si>
  <si>
    <t>matlab</t>
  </si>
  <si>
    <t>10.</t>
  </si>
  <si>
    <t>res freq</t>
  </si>
  <si>
    <t>20.4 Hz</t>
  </si>
  <si>
    <t>scope_9</t>
  </si>
  <si>
    <t>scope_10</t>
  </si>
  <si>
    <t>scope_11</t>
  </si>
  <si>
    <t>non sticky</t>
  </si>
  <si>
    <t>phase</t>
  </si>
  <si>
    <t>6.5°</t>
  </si>
  <si>
    <t>-24.5°</t>
  </si>
  <si>
    <t>11.</t>
  </si>
  <si>
    <t>Phase</t>
  </si>
  <si>
    <t>10mVpp</t>
  </si>
  <si>
    <t>step 6 mV</t>
  </si>
  <si>
    <t>lowpass</t>
  </si>
  <si>
    <t>14 Hz</t>
  </si>
  <si>
    <t>13.</t>
  </si>
  <si>
    <t>185°</t>
  </si>
  <si>
    <t>scope_12</t>
  </si>
  <si>
    <t>scope_13</t>
  </si>
  <si>
    <t>scope_14</t>
  </si>
  <si>
    <t>avg height</t>
  </si>
  <si>
    <t>1/2piRC=</t>
  </si>
  <si>
    <t>step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</si>
</sst>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" fontId="0" fillId="0" borderId="0" xfId="0" applyNumberFormat="1"/>
    <xf numFmtId="0" fontId="0" fillId="0" borderId="0" xfId="0" quotePrefix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Measured</a:t>
            </a:r>
            <a:r>
              <a:rPr lang="en-US" baseline="0"/>
              <a:t> Cantilever H</a:t>
            </a:r>
            <a:r>
              <a:rPr lang="en-US"/>
              <a:t>eight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Tabelle1!$B$2</c:f>
              <c:strCache>
                <c:ptCount val="1"/>
                <c:pt idx="0">
                  <c:v>height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3810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Tabelle1!$A$3:$A$13</c:f>
              <c:numCache>
                <c:formatCode>General</c:formatCode>
                <c:ptCount val="11"/>
                <c:pt idx="0">
                  <c:v>-0.5</c:v>
                </c:pt>
                <c:pt idx="1">
                  <c:v>-0.4</c:v>
                </c:pt>
                <c:pt idx="2">
                  <c:v>-0.3</c:v>
                </c:pt>
                <c:pt idx="3">
                  <c:v>-0.2</c:v>
                </c:pt>
                <c:pt idx="4">
                  <c:v>-0.1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0.3</c:v>
                </c:pt>
                <c:pt idx="9">
                  <c:v>0.4</c:v>
                </c:pt>
                <c:pt idx="10">
                  <c:v>0.5</c:v>
                </c:pt>
              </c:numCache>
            </c:numRef>
          </c:cat>
          <c:val>
            <c:numRef>
              <c:f>Tabelle1!$B$3:$B$13</c:f>
              <c:numCache>
                <c:formatCode>General</c:formatCode>
                <c:ptCount val="11"/>
                <c:pt idx="0">
                  <c:v>11.1</c:v>
                </c:pt>
                <c:pt idx="1">
                  <c:v>11.3</c:v>
                </c:pt>
                <c:pt idx="2">
                  <c:v>11.8</c:v>
                </c:pt>
                <c:pt idx="3">
                  <c:v>12</c:v>
                </c:pt>
                <c:pt idx="4">
                  <c:v>12.05</c:v>
                </c:pt>
                <c:pt idx="5">
                  <c:v>12.4</c:v>
                </c:pt>
                <c:pt idx="6">
                  <c:v>12.7</c:v>
                </c:pt>
                <c:pt idx="7">
                  <c:v>13</c:v>
                </c:pt>
                <c:pt idx="8">
                  <c:v>13.4</c:v>
                </c:pt>
                <c:pt idx="9">
                  <c:v>13.6</c:v>
                </c:pt>
                <c:pt idx="10">
                  <c:v>13.8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32-45A1-9401-68F5A62515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17329711"/>
        <c:axId val="2117337391"/>
      </c:lineChart>
      <c:catAx>
        <c:axId val="21173297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V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337391"/>
        <c:crosses val="autoZero"/>
        <c:auto val="1"/>
        <c:lblAlgn val="ctr"/>
        <c:lblOffset val="100"/>
        <c:noMultiLvlLbl val="0"/>
      </c:catAx>
      <c:valAx>
        <c:axId val="2117337391"/>
        <c:scaling>
          <c:orientation val="minMax"/>
          <c:min val="1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mm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329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Tabelle1!$I$38</c:f>
              <c:strCache>
                <c:ptCount val="1"/>
                <c:pt idx="0">
                  <c:v>100um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Tabelle1!$I$39:$I$44</c:f>
              <c:numCache>
                <c:formatCode>General</c:formatCode>
                <c:ptCount val="6"/>
                <c:pt idx="0">
                  <c:v>0</c:v>
                </c:pt>
                <c:pt idx="1">
                  <c:v>20</c:v>
                </c:pt>
                <c:pt idx="2">
                  <c:v>35</c:v>
                </c:pt>
                <c:pt idx="3">
                  <c:v>40</c:v>
                </c:pt>
                <c:pt idx="4">
                  <c:v>55</c:v>
                </c:pt>
                <c:pt idx="5">
                  <c:v>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55-4291-9E22-5D3BD5654799}"/>
            </c:ext>
          </c:extLst>
        </c:ser>
        <c:ser>
          <c:idx val="1"/>
          <c:order val="1"/>
          <c:tx>
            <c:strRef>
              <c:f>Tabelle1!$J$38</c:f>
              <c:strCache>
                <c:ptCount val="1"/>
                <c:pt idx="0">
                  <c:v>250um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Tabelle1!$J$39:$J$44</c:f>
              <c:numCache>
                <c:formatCode>General</c:formatCode>
                <c:ptCount val="6"/>
                <c:pt idx="0">
                  <c:v>0</c:v>
                </c:pt>
                <c:pt idx="1">
                  <c:v>65</c:v>
                </c:pt>
                <c:pt idx="2">
                  <c:v>150</c:v>
                </c:pt>
                <c:pt idx="3">
                  <c:v>220</c:v>
                </c:pt>
                <c:pt idx="4">
                  <c:v>295</c:v>
                </c:pt>
                <c:pt idx="5">
                  <c:v>370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55-4291-9E22-5D3BD56547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4222495"/>
        <c:axId val="1034224895"/>
      </c:lineChart>
      <c:catAx>
        <c:axId val="10342224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34224895"/>
        <c:crosses val="autoZero"/>
        <c:auto val="1"/>
        <c:lblAlgn val="ctr"/>
        <c:lblOffset val="100"/>
        <c:noMultiLvlLbl val="0"/>
      </c:catAx>
      <c:valAx>
        <c:axId val="1034224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034222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655320</xdr:colOff>
      <xdr:row>0</xdr:row>
      <xdr:rowOff>127635</xdr:rowOff>
    </xdr:from>
    <xdr:to>
      <xdr:col>10</xdr:col>
      <xdr:colOff>472440</xdr:colOff>
      <xdr:row>15</xdr:row>
      <xdr:rowOff>127635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4E91D4A-50E8-AA4B-32AD-636CAFDC89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666750</xdr:colOff>
      <xdr:row>7</xdr:row>
      <xdr:rowOff>19050</xdr:rowOff>
    </xdr:from>
    <xdr:to>
      <xdr:col>10</xdr:col>
      <xdr:colOff>209550</xdr:colOff>
      <xdr:row>9</xdr:row>
      <xdr:rowOff>9525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Rechteck 2">
              <a:extLst>
                <a:ext uri="{FF2B5EF4-FFF2-40B4-BE49-F238E27FC236}">
                  <a16:creationId xmlns:a16="http://schemas.microsoft.com/office/drawing/2014/main" id="{7D5F5A13-BBB6-C0AD-482A-4F7996D62E7F}"/>
                </a:ext>
              </a:extLst>
            </xdr:cNvPr>
            <xdr:cNvSpPr/>
          </xdr:nvSpPr>
          <xdr:spPr>
            <a:xfrm>
              <a:off x="6762750" y="1352550"/>
              <a:ext cx="1066800" cy="371475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accent2"/>
            </a:fontRef>
          </xdr:style>
          <xdr:txBody>
            <a:bodyPr vertOverflow="clip" horzOverflow="clip" rtlCol="0" anchor="t"/>
            <a:lstStyle/>
            <a:p>
              <a:pPr algn="l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≈</m:t>
                    </m:r>
                    <m:r>
                      <a:rPr lang="de-AT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0.27 </m:t>
                    </m:r>
                    <m:f>
                      <m:fPr>
                        <m:ctrlPr>
                          <a:rPr lang="de-AT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de-AT" sz="1100" b="0" i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mm</m:t>
                        </m:r>
                      </m:num>
                      <m:den>
                        <m:r>
                          <a:rPr lang="de-AT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100</m:t>
                        </m:r>
                        <m:r>
                          <m:rPr>
                            <m:nor/>
                          </m:rPr>
                          <a:rPr lang="de-AT" sz="1100" b="0" i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de-AT" sz="1100" b="0" i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mV</m:t>
                        </m:r>
                      </m:den>
                    </m:f>
                  </m:oMath>
                </m:oMathPara>
              </a14:m>
              <a:endParaRPr lang="de-DE" sz="1100"/>
            </a:p>
          </xdr:txBody>
        </xdr:sp>
      </mc:Choice>
      <mc:Fallback>
        <xdr:sp macro="" textlink="">
          <xdr:nvSpPr>
            <xdr:cNvPr id="3" name="Rechteck 2">
              <a:extLst>
                <a:ext uri="{FF2B5EF4-FFF2-40B4-BE49-F238E27FC236}">
                  <a16:creationId xmlns:a16="http://schemas.microsoft.com/office/drawing/2014/main" id="{7D5F5A13-BBB6-C0AD-482A-4F7996D62E7F}"/>
                </a:ext>
              </a:extLst>
            </xdr:cNvPr>
            <xdr:cNvSpPr/>
          </xdr:nvSpPr>
          <xdr:spPr>
            <a:xfrm>
              <a:off x="6762750" y="1352550"/>
              <a:ext cx="1066800" cy="371475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accent2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de-DE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≈</a:t>
              </a:r>
              <a:r>
                <a:rPr lang="de-AT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0.27  "mm" /100" mV" </a:t>
              </a:r>
              <a:endParaRPr lang="de-DE" sz="1100"/>
            </a:p>
          </xdr:txBody>
        </xdr:sp>
      </mc:Fallback>
    </mc:AlternateContent>
    <xdr:clientData/>
  </xdr:twoCellAnchor>
  <xdr:twoCellAnchor>
    <xdr:from>
      <xdr:col>10</xdr:col>
      <xdr:colOff>461962</xdr:colOff>
      <xdr:row>35</xdr:row>
      <xdr:rowOff>100012</xdr:rowOff>
    </xdr:from>
    <xdr:to>
      <xdr:col>16</xdr:col>
      <xdr:colOff>461962</xdr:colOff>
      <xdr:row>49</xdr:row>
      <xdr:rowOff>176212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30B57B97-D298-68CF-ECA0-B057EF908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21238-07F0-4F79-A400-2B4B4E09B5E3}">
  <dimension ref="A1:J67"/>
  <sheetViews>
    <sheetView tabSelected="1" topLeftCell="A32" workbookViewId="0">
      <selection activeCell="R51" sqref="R51"/>
    </sheetView>
  </sheetViews>
  <sheetFormatPr baseColWidth="10" defaultRowHeight="15" x14ac:dyDescent="0.25"/>
  <sheetData>
    <row r="1" spans="1:4" x14ac:dyDescent="0.25">
      <c r="A1" t="s">
        <v>8</v>
      </c>
    </row>
    <row r="2" spans="1:4" x14ac:dyDescent="0.25">
      <c r="A2" t="s">
        <v>0</v>
      </c>
      <c r="B2" t="s">
        <v>1</v>
      </c>
      <c r="C2" t="s">
        <v>2</v>
      </c>
      <c r="D2" t="s">
        <v>65</v>
      </c>
    </row>
    <row r="3" spans="1:4" x14ac:dyDescent="0.25">
      <c r="A3">
        <v>-0.5</v>
      </c>
      <c r="B3">
        <v>11.1</v>
      </c>
      <c r="C3">
        <v>45.7</v>
      </c>
      <c r="D3">
        <f>(B13-B3)/(A13-A3)</f>
        <v>2.7000000000000011</v>
      </c>
    </row>
    <row r="4" spans="1:4" x14ac:dyDescent="0.25">
      <c r="A4">
        <v>-0.4</v>
      </c>
      <c r="B4">
        <v>11.3</v>
      </c>
    </row>
    <row r="5" spans="1:4" x14ac:dyDescent="0.25">
      <c r="A5">
        <v>-0.3</v>
      </c>
      <c r="B5">
        <v>11.8</v>
      </c>
    </row>
    <row r="6" spans="1:4" x14ac:dyDescent="0.25">
      <c r="A6">
        <v>-0.2</v>
      </c>
      <c r="B6">
        <v>12</v>
      </c>
    </row>
    <row r="7" spans="1:4" x14ac:dyDescent="0.25">
      <c r="A7">
        <v>-0.1</v>
      </c>
      <c r="B7">
        <v>12.05</v>
      </c>
    </row>
    <row r="8" spans="1:4" x14ac:dyDescent="0.25">
      <c r="A8">
        <v>0</v>
      </c>
      <c r="B8">
        <v>12.4</v>
      </c>
    </row>
    <row r="9" spans="1:4" x14ac:dyDescent="0.25">
      <c r="A9">
        <v>0.1</v>
      </c>
      <c r="B9">
        <v>12.7</v>
      </c>
    </row>
    <row r="10" spans="1:4" x14ac:dyDescent="0.25">
      <c r="A10">
        <v>0.2</v>
      </c>
      <c r="B10">
        <v>13</v>
      </c>
    </row>
    <row r="11" spans="1:4" x14ac:dyDescent="0.25">
      <c r="A11">
        <v>0.3</v>
      </c>
      <c r="B11">
        <v>13.4</v>
      </c>
    </row>
    <row r="12" spans="1:4" x14ac:dyDescent="0.25">
      <c r="A12">
        <v>0.4</v>
      </c>
      <c r="B12">
        <v>13.6</v>
      </c>
    </row>
    <row r="13" spans="1:4" x14ac:dyDescent="0.25">
      <c r="A13">
        <v>0.5</v>
      </c>
      <c r="B13">
        <v>13.8</v>
      </c>
    </row>
    <row r="15" spans="1:4" x14ac:dyDescent="0.25">
      <c r="A15" t="s">
        <v>9</v>
      </c>
    </row>
    <row r="16" spans="1:4" x14ac:dyDescent="0.25">
      <c r="A16" t="s">
        <v>10</v>
      </c>
    </row>
    <row r="18" spans="1:5" x14ac:dyDescent="0.25">
      <c r="A18" t="s">
        <v>7</v>
      </c>
    </row>
    <row r="19" spans="1:5" x14ac:dyDescent="0.25">
      <c r="A19" t="s">
        <v>3</v>
      </c>
      <c r="B19" t="s">
        <v>4</v>
      </c>
    </row>
    <row r="20" spans="1:5" x14ac:dyDescent="0.25">
      <c r="A20" t="s">
        <v>5</v>
      </c>
      <c r="B20" t="s">
        <v>6</v>
      </c>
    </row>
    <row r="23" spans="1:5" x14ac:dyDescent="0.25">
      <c r="A23" t="s">
        <v>27</v>
      </c>
    </row>
    <row r="25" spans="1:5" x14ac:dyDescent="0.25">
      <c r="A25" t="s">
        <v>13</v>
      </c>
    </row>
    <row r="26" spans="1:5" x14ac:dyDescent="0.25">
      <c r="A26" t="s">
        <v>12</v>
      </c>
      <c r="D26" t="s">
        <v>26</v>
      </c>
      <c r="E26" t="s">
        <v>66</v>
      </c>
    </row>
    <row r="27" spans="1:5" x14ac:dyDescent="0.25">
      <c r="A27" t="s">
        <v>13</v>
      </c>
      <c r="D27">
        <f>1/(220000*100*10^-9)</f>
        <v>45.454545454545453</v>
      </c>
      <c r="E27">
        <f>1/(2*PI()*220000*100*10^-9)</f>
        <v>7.2343155950861515</v>
      </c>
    </row>
    <row r="28" spans="1:5" x14ac:dyDescent="0.25">
      <c r="A28" t="s">
        <v>11</v>
      </c>
    </row>
    <row r="30" spans="1:5" x14ac:dyDescent="0.25">
      <c r="A30" t="s">
        <v>14</v>
      </c>
      <c r="B30" t="s">
        <v>17</v>
      </c>
    </row>
    <row r="31" spans="1:5" x14ac:dyDescent="0.25">
      <c r="A31" t="s">
        <v>16</v>
      </c>
      <c r="B31" t="s">
        <v>15</v>
      </c>
    </row>
    <row r="32" spans="1:5" x14ac:dyDescent="0.25">
      <c r="A32" t="s">
        <v>20</v>
      </c>
      <c r="B32" t="s">
        <v>21</v>
      </c>
    </row>
    <row r="33" spans="1:10" x14ac:dyDescent="0.25">
      <c r="A33" t="s">
        <v>18</v>
      </c>
      <c r="B33" t="s">
        <v>19</v>
      </c>
    </row>
    <row r="34" spans="1:10" x14ac:dyDescent="0.25">
      <c r="A34" t="s">
        <v>22</v>
      </c>
      <c r="B34" t="s">
        <v>24</v>
      </c>
    </row>
    <row r="35" spans="1:10" x14ac:dyDescent="0.25">
      <c r="A35" t="s">
        <v>25</v>
      </c>
      <c r="B35" t="s">
        <v>23</v>
      </c>
    </row>
    <row r="38" spans="1:10" x14ac:dyDescent="0.25">
      <c r="I38" t="s">
        <v>30</v>
      </c>
      <c r="J38" t="s">
        <v>32</v>
      </c>
    </row>
    <row r="39" spans="1:10" x14ac:dyDescent="0.25">
      <c r="A39" t="s">
        <v>28</v>
      </c>
      <c r="E39">
        <v>0</v>
      </c>
      <c r="F39">
        <v>-70</v>
      </c>
      <c r="G39">
        <v>-275</v>
      </c>
      <c r="I39">
        <f>F39-$F$39</f>
        <v>0</v>
      </c>
      <c r="J39">
        <f>G39-$G$39</f>
        <v>0</v>
      </c>
    </row>
    <row r="40" spans="1:10" x14ac:dyDescent="0.25">
      <c r="A40" t="s">
        <v>29</v>
      </c>
      <c r="B40" t="s">
        <v>30</v>
      </c>
      <c r="E40">
        <v>1</v>
      </c>
      <c r="F40">
        <v>-50</v>
      </c>
      <c r="G40">
        <v>-210</v>
      </c>
      <c r="I40">
        <f t="shared" ref="I40:J44" si="0">F40-$F$39</f>
        <v>20</v>
      </c>
      <c r="J40">
        <f t="shared" ref="J40:J44" si="1">G40-$G$39</f>
        <v>65</v>
      </c>
    </row>
    <row r="41" spans="1:10" x14ac:dyDescent="0.25">
      <c r="A41" t="s">
        <v>31</v>
      </c>
      <c r="B41" t="s">
        <v>32</v>
      </c>
      <c r="E41">
        <v>2</v>
      </c>
      <c r="F41">
        <v>-35</v>
      </c>
      <c r="G41">
        <v>-125</v>
      </c>
      <c r="I41">
        <f t="shared" si="0"/>
        <v>35</v>
      </c>
      <c r="J41">
        <f t="shared" si="1"/>
        <v>150</v>
      </c>
    </row>
    <row r="42" spans="1:10" x14ac:dyDescent="0.25">
      <c r="A42" t="s">
        <v>33</v>
      </c>
      <c r="B42" t="s">
        <v>34</v>
      </c>
      <c r="E42">
        <v>3</v>
      </c>
      <c r="F42">
        <v>-30</v>
      </c>
      <c r="G42">
        <v>-55</v>
      </c>
      <c r="I42">
        <f t="shared" si="0"/>
        <v>40</v>
      </c>
      <c r="J42">
        <f t="shared" si="1"/>
        <v>220</v>
      </c>
    </row>
    <row r="43" spans="1:10" x14ac:dyDescent="0.25">
      <c r="E43">
        <v>4</v>
      </c>
      <c r="F43">
        <v>-15</v>
      </c>
      <c r="G43">
        <v>20</v>
      </c>
      <c r="I43">
        <f t="shared" si="0"/>
        <v>55</v>
      </c>
      <c r="J43">
        <f t="shared" si="1"/>
        <v>295</v>
      </c>
    </row>
    <row r="44" spans="1:10" x14ac:dyDescent="0.25">
      <c r="A44" t="s">
        <v>35</v>
      </c>
      <c r="E44">
        <v>5</v>
      </c>
      <c r="F44">
        <v>8</v>
      </c>
      <c r="G44">
        <v>95</v>
      </c>
      <c r="I44">
        <f t="shared" si="0"/>
        <v>78</v>
      </c>
      <c r="J44">
        <f t="shared" si="1"/>
        <v>370</v>
      </c>
    </row>
    <row r="45" spans="1:10" x14ac:dyDescent="0.25">
      <c r="A45" t="s">
        <v>36</v>
      </c>
      <c r="B45" t="s">
        <v>37</v>
      </c>
      <c r="E45" t="s">
        <v>67</v>
      </c>
      <c r="F45">
        <f>(F44-F39)/5</f>
        <v>15.6</v>
      </c>
      <c r="G45">
        <f>(G44-G39)/5</f>
        <v>74</v>
      </c>
    </row>
    <row r="46" spans="1:10" x14ac:dyDescent="0.25">
      <c r="A46" t="s">
        <v>38</v>
      </c>
      <c r="B46" t="s">
        <v>39</v>
      </c>
    </row>
    <row r="47" spans="1:10" x14ac:dyDescent="0.25">
      <c r="A47" t="s">
        <v>40</v>
      </c>
      <c r="B47" t="s">
        <v>41</v>
      </c>
    </row>
    <row r="50" spans="1:4" x14ac:dyDescent="0.25">
      <c r="A50" t="s">
        <v>42</v>
      </c>
    </row>
    <row r="51" spans="1:4" x14ac:dyDescent="0.25">
      <c r="A51" t="s">
        <v>43</v>
      </c>
    </row>
    <row r="53" spans="1:4" x14ac:dyDescent="0.25">
      <c r="A53" t="s">
        <v>44</v>
      </c>
    </row>
    <row r="54" spans="1:4" x14ac:dyDescent="0.25">
      <c r="A54" t="s">
        <v>45</v>
      </c>
      <c r="B54" t="s">
        <v>46</v>
      </c>
    </row>
    <row r="56" spans="1:4" x14ac:dyDescent="0.25">
      <c r="A56" t="s">
        <v>47</v>
      </c>
      <c r="B56" t="s">
        <v>4</v>
      </c>
    </row>
    <row r="57" spans="1:4" x14ac:dyDescent="0.25">
      <c r="A57" t="s">
        <v>48</v>
      </c>
      <c r="B57" t="s">
        <v>4</v>
      </c>
      <c r="C57" t="s">
        <v>51</v>
      </c>
      <c r="D57" s="2" t="s">
        <v>53</v>
      </c>
    </row>
    <row r="58" spans="1:4" x14ac:dyDescent="0.25">
      <c r="A58" t="s">
        <v>49</v>
      </c>
      <c r="B58" t="s">
        <v>50</v>
      </c>
      <c r="C58" t="s">
        <v>51</v>
      </c>
      <c r="D58" s="1" t="s">
        <v>52</v>
      </c>
    </row>
    <row r="60" spans="1:4" x14ac:dyDescent="0.25">
      <c r="A60" t="s">
        <v>54</v>
      </c>
    </row>
    <row r="61" spans="1:4" x14ac:dyDescent="0.25">
      <c r="A61" t="s">
        <v>55</v>
      </c>
      <c r="B61" t="s">
        <v>61</v>
      </c>
      <c r="C61" t="s">
        <v>58</v>
      </c>
      <c r="D61" t="s">
        <v>59</v>
      </c>
    </row>
    <row r="62" spans="1:4" x14ac:dyDescent="0.25">
      <c r="A62" t="s">
        <v>56</v>
      </c>
      <c r="B62" t="s">
        <v>57</v>
      </c>
    </row>
    <row r="64" spans="1:4" x14ac:dyDescent="0.25">
      <c r="A64" t="s">
        <v>60</v>
      </c>
    </row>
    <row r="65" spans="1:2" x14ac:dyDescent="0.25">
      <c r="A65" t="s">
        <v>62</v>
      </c>
      <c r="B65">
        <v>250</v>
      </c>
    </row>
    <row r="66" spans="1:2" x14ac:dyDescent="0.25">
      <c r="A66" t="s">
        <v>63</v>
      </c>
      <c r="B66">
        <v>100</v>
      </c>
    </row>
    <row r="67" spans="1:2" x14ac:dyDescent="0.25">
      <c r="A67" t="s">
        <v>64</v>
      </c>
      <c r="B67" t="s">
        <v>34</v>
      </c>
    </row>
  </sheetData>
  <sortState xmlns:xlrd2="http://schemas.microsoft.com/office/spreadsheetml/2017/richdata2" ref="A3:B13">
    <sortCondition ref="A3:A13"/>
  </sortState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Heinrich Fuhrmann</dc:creator>
  <cp:lastModifiedBy>cagyos@sts2.onmicrosoft.com</cp:lastModifiedBy>
  <dcterms:created xsi:type="dcterms:W3CDTF">2026-04-16T11:34:56Z</dcterms:created>
  <dcterms:modified xsi:type="dcterms:W3CDTF">2026-04-28T12:03:38Z</dcterms:modified>
</cp:coreProperties>
</file>