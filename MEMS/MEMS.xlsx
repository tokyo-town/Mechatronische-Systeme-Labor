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r\OneDrive\Documents\TU\Mechatronische-Systeme-Labor\MEMS\"/>
    </mc:Choice>
  </mc:AlternateContent>
  <xr:revisionPtr revIDLastSave="0" documentId="13_ncr:1_{810F79CA-056A-4DC7-841C-99F12D185B97}" xr6:coauthVersionLast="47" xr6:coauthVersionMax="47" xr10:uidLastSave="{00000000-0000-0000-0000-000000000000}"/>
  <bookViews>
    <workbookView xWindow="-108" yWindow="-108" windowWidth="23256" windowHeight="12576" xr2:uid="{0D8E40AD-B8E2-4EAA-90FC-CA3D6EC973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0" i="1" l="1"/>
  <c r="B61" i="1" s="1"/>
  <c r="E55" i="1"/>
  <c r="B49" i="1"/>
  <c r="B9" i="1"/>
  <c r="D9" i="1" s="1"/>
  <c r="B12" i="1" s="1"/>
</calcChain>
</file>

<file path=xl/sharedStrings.xml><?xml version="1.0" encoding="utf-8"?>
<sst xmlns="http://schemas.openxmlformats.org/spreadsheetml/2006/main" count="51" uniqueCount="44">
  <si>
    <t>1.</t>
  </si>
  <si>
    <t>jump low</t>
  </si>
  <si>
    <t>jump high</t>
  </si>
  <si>
    <t>2.</t>
  </si>
  <si>
    <t>dist</t>
  </si>
  <si>
    <t>VPP</t>
  </si>
  <si>
    <t>V</t>
  </si>
  <si>
    <t>Vdiff</t>
  </si>
  <si>
    <t>Vsum</t>
  </si>
  <si>
    <t>mm</t>
  </si>
  <si>
    <t>°</t>
  </si>
  <si>
    <t>ypp</t>
  </si>
  <si>
    <t>theta</t>
  </si>
  <si>
    <t>3.</t>
  </si>
  <si>
    <t>f</t>
  </si>
  <si>
    <t>Vdiff (mV)</t>
  </si>
  <si>
    <t>phase (us)</t>
  </si>
  <si>
    <t>phase prog (ns)</t>
  </si>
  <si>
    <t>4.</t>
  </si>
  <si>
    <t>us</t>
  </si>
  <si>
    <t>T/2</t>
  </si>
  <si>
    <t>use</t>
  </si>
  <si>
    <t>ns</t>
  </si>
  <si>
    <t>cursor</t>
  </si>
  <si>
    <t>X1</t>
  </si>
  <si>
    <t>X2</t>
  </si>
  <si>
    <t>Y1</t>
  </si>
  <si>
    <t>Y2</t>
  </si>
  <si>
    <t>mv</t>
  </si>
  <si>
    <t>slope</t>
  </si>
  <si>
    <t>5.</t>
  </si>
  <si>
    <t>mv/us</t>
  </si>
  <si>
    <t>s_I</t>
  </si>
  <si>
    <t>s_Dt</t>
  </si>
  <si>
    <t>mV</t>
  </si>
  <si>
    <t>scope_1</t>
  </si>
  <si>
    <t>all measurements</t>
  </si>
  <si>
    <t>6.</t>
  </si>
  <si>
    <t>scope_2</t>
  </si>
  <si>
    <t>scope_3</t>
  </si>
  <si>
    <t>7.</t>
  </si>
  <si>
    <t>manual</t>
  </si>
  <si>
    <t>8.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</si>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</sst>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Amplitude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Tabelle1!$A$17:$A$40</c:f>
              <c:numCache>
                <c:formatCode>General</c:formatCode>
                <c:ptCount val="24"/>
                <c:pt idx="0">
                  <c:v>4600</c:v>
                </c:pt>
                <c:pt idx="1">
                  <c:v>4550</c:v>
                </c:pt>
                <c:pt idx="2">
                  <c:v>4500</c:v>
                </c:pt>
                <c:pt idx="3">
                  <c:v>4450</c:v>
                </c:pt>
                <c:pt idx="4">
                  <c:v>4400</c:v>
                </c:pt>
                <c:pt idx="5">
                  <c:v>4350</c:v>
                </c:pt>
                <c:pt idx="6">
                  <c:v>4300</c:v>
                </c:pt>
                <c:pt idx="7">
                  <c:v>4250</c:v>
                </c:pt>
                <c:pt idx="8">
                  <c:v>4200</c:v>
                </c:pt>
                <c:pt idx="9">
                  <c:v>4250</c:v>
                </c:pt>
                <c:pt idx="10">
                  <c:v>4300</c:v>
                </c:pt>
                <c:pt idx="11">
                  <c:v>4350</c:v>
                </c:pt>
                <c:pt idx="12">
                  <c:v>4400</c:v>
                </c:pt>
                <c:pt idx="13">
                  <c:v>4450</c:v>
                </c:pt>
                <c:pt idx="14">
                  <c:v>4500</c:v>
                </c:pt>
                <c:pt idx="15">
                  <c:v>4510</c:v>
                </c:pt>
                <c:pt idx="16">
                  <c:v>4520</c:v>
                </c:pt>
                <c:pt idx="17">
                  <c:v>4530</c:v>
                </c:pt>
                <c:pt idx="18">
                  <c:v>4540</c:v>
                </c:pt>
                <c:pt idx="19">
                  <c:v>4550</c:v>
                </c:pt>
                <c:pt idx="20">
                  <c:v>4560</c:v>
                </c:pt>
                <c:pt idx="21">
                  <c:v>4570</c:v>
                </c:pt>
                <c:pt idx="22">
                  <c:v>4550</c:v>
                </c:pt>
                <c:pt idx="23">
                  <c:v>4600</c:v>
                </c:pt>
              </c:numCache>
            </c:numRef>
          </c:xVal>
          <c:yVal>
            <c:numRef>
              <c:f>Tabelle1!$B$17:$B$40</c:f>
              <c:numCache>
                <c:formatCode>General</c:formatCode>
                <c:ptCount val="24"/>
                <c:pt idx="0">
                  <c:v>181</c:v>
                </c:pt>
                <c:pt idx="1">
                  <c:v>217</c:v>
                </c:pt>
                <c:pt idx="2">
                  <c:v>257</c:v>
                </c:pt>
                <c:pt idx="3">
                  <c:v>310</c:v>
                </c:pt>
                <c:pt idx="4">
                  <c:v>386</c:v>
                </c:pt>
                <c:pt idx="5">
                  <c:v>474</c:v>
                </c:pt>
                <c:pt idx="6">
                  <c:v>643</c:v>
                </c:pt>
                <c:pt idx="7">
                  <c:v>1790</c:v>
                </c:pt>
                <c:pt idx="8">
                  <c:v>1100</c:v>
                </c:pt>
                <c:pt idx="9">
                  <c:v>1770</c:v>
                </c:pt>
                <c:pt idx="10">
                  <c:v>2260</c:v>
                </c:pt>
                <c:pt idx="11">
                  <c:v>2750</c:v>
                </c:pt>
                <c:pt idx="12">
                  <c:v>3150</c:v>
                </c:pt>
                <c:pt idx="13">
                  <c:v>3650</c:v>
                </c:pt>
                <c:pt idx="14">
                  <c:v>4010</c:v>
                </c:pt>
                <c:pt idx="22">
                  <c:v>214</c:v>
                </c:pt>
                <c:pt idx="23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9-4237-A3F9-245C83803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913712"/>
        <c:axId val="1164903152"/>
      </c:scatterChart>
      <c:valAx>
        <c:axId val="116491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4903152"/>
        <c:crosses val="autoZero"/>
        <c:crossBetween val="midCat"/>
      </c:valAx>
      <c:valAx>
        <c:axId val="11649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491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Tabelle1!$A$17:$A$40</c:f>
              <c:numCache>
                <c:formatCode>General</c:formatCode>
                <c:ptCount val="24"/>
                <c:pt idx="0">
                  <c:v>4600</c:v>
                </c:pt>
                <c:pt idx="1">
                  <c:v>4550</c:v>
                </c:pt>
                <c:pt idx="2">
                  <c:v>4500</c:v>
                </c:pt>
                <c:pt idx="3">
                  <c:v>4450</c:v>
                </c:pt>
                <c:pt idx="4">
                  <c:v>4400</c:v>
                </c:pt>
                <c:pt idx="5">
                  <c:v>4350</c:v>
                </c:pt>
                <c:pt idx="6">
                  <c:v>4300</c:v>
                </c:pt>
                <c:pt idx="7">
                  <c:v>4250</c:v>
                </c:pt>
                <c:pt idx="8">
                  <c:v>4200</c:v>
                </c:pt>
                <c:pt idx="9">
                  <c:v>4250</c:v>
                </c:pt>
                <c:pt idx="10">
                  <c:v>4300</c:v>
                </c:pt>
                <c:pt idx="11">
                  <c:v>4350</c:v>
                </c:pt>
                <c:pt idx="12">
                  <c:v>4400</c:v>
                </c:pt>
                <c:pt idx="13">
                  <c:v>4450</c:v>
                </c:pt>
                <c:pt idx="14">
                  <c:v>4500</c:v>
                </c:pt>
                <c:pt idx="15">
                  <c:v>4510</c:v>
                </c:pt>
                <c:pt idx="16">
                  <c:v>4520</c:v>
                </c:pt>
                <c:pt idx="17">
                  <c:v>4530</c:v>
                </c:pt>
                <c:pt idx="18">
                  <c:v>4540</c:v>
                </c:pt>
                <c:pt idx="19">
                  <c:v>4550</c:v>
                </c:pt>
                <c:pt idx="20">
                  <c:v>4560</c:v>
                </c:pt>
                <c:pt idx="21">
                  <c:v>4570</c:v>
                </c:pt>
                <c:pt idx="22">
                  <c:v>4550</c:v>
                </c:pt>
                <c:pt idx="23">
                  <c:v>4600</c:v>
                </c:pt>
              </c:numCache>
            </c:numRef>
          </c:xVal>
          <c:yVal>
            <c:numRef>
              <c:f>Tabelle1!$C$17:$C$40</c:f>
              <c:numCache>
                <c:formatCode>General</c:formatCode>
                <c:ptCount val="24"/>
                <c:pt idx="0">
                  <c:v>-66.8</c:v>
                </c:pt>
                <c:pt idx="1">
                  <c:v>-67.400000000000006</c:v>
                </c:pt>
                <c:pt idx="2">
                  <c:v>-67</c:v>
                </c:pt>
                <c:pt idx="3">
                  <c:v>-68</c:v>
                </c:pt>
                <c:pt idx="4">
                  <c:v>-68.8</c:v>
                </c:pt>
                <c:pt idx="5">
                  <c:v>-69.8</c:v>
                </c:pt>
                <c:pt idx="6">
                  <c:v>-69</c:v>
                </c:pt>
                <c:pt idx="7">
                  <c:v>34.200000000000003</c:v>
                </c:pt>
                <c:pt idx="8">
                  <c:v>39.799999999999997</c:v>
                </c:pt>
                <c:pt idx="9">
                  <c:v>35</c:v>
                </c:pt>
                <c:pt idx="10">
                  <c:v>31.2</c:v>
                </c:pt>
                <c:pt idx="11">
                  <c:v>27.2</c:v>
                </c:pt>
                <c:pt idx="12">
                  <c:v>22</c:v>
                </c:pt>
                <c:pt idx="13">
                  <c:v>14.8</c:v>
                </c:pt>
                <c:pt idx="14">
                  <c:v>7.6</c:v>
                </c:pt>
                <c:pt idx="15">
                  <c:v>6</c:v>
                </c:pt>
                <c:pt idx="16">
                  <c:v>3.9</c:v>
                </c:pt>
                <c:pt idx="17">
                  <c:v>2.2000000000000002</c:v>
                </c:pt>
                <c:pt idx="18">
                  <c:v>1.1000000000000001</c:v>
                </c:pt>
                <c:pt idx="19">
                  <c:v>-0.7</c:v>
                </c:pt>
                <c:pt idx="20">
                  <c:v>-2.2000000000000002</c:v>
                </c:pt>
                <c:pt idx="21">
                  <c:v>-4</c:v>
                </c:pt>
                <c:pt idx="22">
                  <c:v>-66.8</c:v>
                </c:pt>
                <c:pt idx="23">
                  <c:v>-66.599999999999994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7-4961-B08C-B7004E606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318672"/>
        <c:axId val="1137328272"/>
      </c:scatterChart>
      <c:valAx>
        <c:axId val="113731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7328272"/>
        <c:crosses val="autoZero"/>
        <c:crossBetween val="midCat"/>
      </c:valAx>
      <c:valAx>
        <c:axId val="11373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731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Tabelle1!$B$17:$B$40</c:f>
              <c:numCache>
                <c:formatCode>General</c:formatCode>
                <c:ptCount val="24"/>
                <c:pt idx="0">
                  <c:v>181</c:v>
                </c:pt>
                <c:pt idx="1">
                  <c:v>217</c:v>
                </c:pt>
                <c:pt idx="2">
                  <c:v>257</c:v>
                </c:pt>
                <c:pt idx="3">
                  <c:v>310</c:v>
                </c:pt>
                <c:pt idx="4">
                  <c:v>386</c:v>
                </c:pt>
                <c:pt idx="5">
                  <c:v>474</c:v>
                </c:pt>
                <c:pt idx="6">
                  <c:v>643</c:v>
                </c:pt>
                <c:pt idx="7">
                  <c:v>1790</c:v>
                </c:pt>
                <c:pt idx="8">
                  <c:v>1100</c:v>
                </c:pt>
                <c:pt idx="9">
                  <c:v>1770</c:v>
                </c:pt>
                <c:pt idx="10">
                  <c:v>2260</c:v>
                </c:pt>
                <c:pt idx="11">
                  <c:v>2750</c:v>
                </c:pt>
                <c:pt idx="12">
                  <c:v>3150</c:v>
                </c:pt>
                <c:pt idx="13">
                  <c:v>3650</c:v>
                </c:pt>
                <c:pt idx="14">
                  <c:v>4010</c:v>
                </c:pt>
                <c:pt idx="22">
                  <c:v>214</c:v>
                </c:pt>
                <c:pt idx="23">
                  <c:v>182</c:v>
                </c:pt>
              </c:numCache>
            </c:numRef>
          </c:xVal>
          <c:yVal>
            <c:numRef>
              <c:f>Tabelle1!$C$17:$C$40</c:f>
              <c:numCache>
                <c:formatCode>General</c:formatCode>
                <c:ptCount val="24"/>
                <c:pt idx="0">
                  <c:v>-66.8</c:v>
                </c:pt>
                <c:pt idx="1">
                  <c:v>-67.400000000000006</c:v>
                </c:pt>
                <c:pt idx="2">
                  <c:v>-67</c:v>
                </c:pt>
                <c:pt idx="3">
                  <c:v>-68</c:v>
                </c:pt>
                <c:pt idx="4">
                  <c:v>-68.8</c:v>
                </c:pt>
                <c:pt idx="5">
                  <c:v>-69.8</c:v>
                </c:pt>
                <c:pt idx="6">
                  <c:v>-69</c:v>
                </c:pt>
                <c:pt idx="7">
                  <c:v>34.200000000000003</c:v>
                </c:pt>
                <c:pt idx="8">
                  <c:v>39.799999999999997</c:v>
                </c:pt>
                <c:pt idx="9">
                  <c:v>35</c:v>
                </c:pt>
                <c:pt idx="10">
                  <c:v>31.2</c:v>
                </c:pt>
                <c:pt idx="11">
                  <c:v>27.2</c:v>
                </c:pt>
                <c:pt idx="12">
                  <c:v>22</c:v>
                </c:pt>
                <c:pt idx="13">
                  <c:v>14.8</c:v>
                </c:pt>
                <c:pt idx="14">
                  <c:v>7.6</c:v>
                </c:pt>
                <c:pt idx="15">
                  <c:v>6</c:v>
                </c:pt>
                <c:pt idx="16">
                  <c:v>3.9</c:v>
                </c:pt>
                <c:pt idx="17">
                  <c:v>2.2000000000000002</c:v>
                </c:pt>
                <c:pt idx="18">
                  <c:v>1.1000000000000001</c:v>
                </c:pt>
                <c:pt idx="19">
                  <c:v>-0.7</c:v>
                </c:pt>
                <c:pt idx="20">
                  <c:v>-2.2000000000000002</c:v>
                </c:pt>
                <c:pt idx="21">
                  <c:v>-4</c:v>
                </c:pt>
                <c:pt idx="22">
                  <c:v>-66.8</c:v>
                </c:pt>
                <c:pt idx="23">
                  <c:v>-66.599999999999994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D-4C5E-8B14-07CF4710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851472"/>
        <c:axId val="1223838032"/>
      </c:scatterChart>
      <c:valAx>
        <c:axId val="1223851472"/>
        <c:scaling>
          <c:logBase val="10"/>
          <c:orientation val="minMax"/>
          <c:max val="5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3838032"/>
        <c:crosses val="autoZero"/>
        <c:crossBetween val="midCat"/>
      </c:valAx>
      <c:valAx>
        <c:axId val="12238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385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10</xdr:row>
      <xdr:rowOff>110490</xdr:rowOff>
    </xdr:from>
    <xdr:to>
      <xdr:col>10</xdr:col>
      <xdr:colOff>708660</xdr:colOff>
      <xdr:row>25</xdr:row>
      <xdr:rowOff>110490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AC66690-52C7-4CAA-6F37-8934443A3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320040</xdr:colOff>
      <xdr:row>11</xdr:row>
      <xdr:rowOff>102870</xdr:rowOff>
    </xdr:from>
    <xdr:to>
      <xdr:col>17</xdr:col>
      <xdr:colOff>137160</xdr:colOff>
      <xdr:row>26</xdr:row>
      <xdr:rowOff>102870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B32D2DD-F3B1-3BA5-39CB-724537713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704582</xdr:colOff>
      <xdr:row>11</xdr:row>
      <xdr:rowOff>163079</xdr:rowOff>
    </xdr:from>
    <xdr:to>
      <xdr:col>23</xdr:col>
      <xdr:colOff>519985</xdr:colOff>
      <xdr:row>26</xdr:row>
      <xdr:rowOff>163080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8E40C91-57C3-80EF-6E73-5D81B3719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8562-0970-492C-B397-190790306840}">
  <dimension ref="A1:F76"/>
  <sheetViews>
    <sheetView tabSelected="1" topLeftCell="A54" zoomScale="71" workbookViewId="0">
      <selection activeCell="B76" sqref="B76"/>
    </sheetView>
  </sheetViews>
  <sheetFormatPr baseColWidth="10"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>
        <v>4258</v>
      </c>
    </row>
    <row r="3" spans="1:4" x14ac:dyDescent="0.3">
      <c r="A3" t="s">
        <v>2</v>
      </c>
      <c r="B3">
        <v>4578</v>
      </c>
    </row>
    <row r="5" spans="1:4" x14ac:dyDescent="0.3">
      <c r="A5" t="s">
        <v>3</v>
      </c>
    </row>
    <row r="6" spans="1:4" x14ac:dyDescent="0.3">
      <c r="A6" t="s">
        <v>4</v>
      </c>
      <c r="B6">
        <v>30</v>
      </c>
      <c r="C6" t="s">
        <v>9</v>
      </c>
    </row>
    <row r="7" spans="1:4" x14ac:dyDescent="0.3">
      <c r="A7" t="s">
        <v>5</v>
      </c>
      <c r="B7">
        <v>9.0399999999999991</v>
      </c>
      <c r="C7" t="s">
        <v>6</v>
      </c>
    </row>
    <row r="9" spans="1:4" x14ac:dyDescent="0.3">
      <c r="A9" t="s">
        <v>7</v>
      </c>
      <c r="B9">
        <f>B7</f>
        <v>9.0399999999999991</v>
      </c>
      <c r="C9" t="s">
        <v>11</v>
      </c>
      <c r="D9">
        <f>30/2*B9/B10</f>
        <v>24.388489208633093</v>
      </c>
    </row>
    <row r="10" spans="1:4" x14ac:dyDescent="0.3">
      <c r="A10" t="s">
        <v>8</v>
      </c>
      <c r="B10">
        <v>5.56</v>
      </c>
    </row>
    <row r="12" spans="1:4" x14ac:dyDescent="0.3">
      <c r="A12" t="s">
        <v>12</v>
      </c>
      <c r="B12">
        <f>ATAN(D9/2/B6)*180/PI()</f>
        <v>22.120503969183797</v>
      </c>
      <c r="C12" t="s">
        <v>10</v>
      </c>
    </row>
    <row r="14" spans="1:4" x14ac:dyDescent="0.3">
      <c r="A14" t="s">
        <v>13</v>
      </c>
    </row>
    <row r="16" spans="1:4" x14ac:dyDescent="0.3">
      <c r="A16" t="s">
        <v>14</v>
      </c>
      <c r="B16" t="s">
        <v>15</v>
      </c>
      <c r="C16" t="s">
        <v>16</v>
      </c>
      <c r="D16" t="s">
        <v>17</v>
      </c>
    </row>
    <row r="17" spans="1:4" x14ac:dyDescent="0.3">
      <c r="A17">
        <v>4600</v>
      </c>
      <c r="B17">
        <v>181</v>
      </c>
      <c r="C17">
        <v>-66.8</v>
      </c>
      <c r="D17">
        <v>4533</v>
      </c>
    </row>
    <row r="18" spans="1:4" x14ac:dyDescent="0.3">
      <c r="A18">
        <v>4550</v>
      </c>
      <c r="B18">
        <v>217</v>
      </c>
      <c r="C18">
        <v>-67.400000000000006</v>
      </c>
      <c r="D18">
        <v>127</v>
      </c>
    </row>
    <row r="19" spans="1:4" x14ac:dyDescent="0.3">
      <c r="A19">
        <v>4500</v>
      </c>
      <c r="B19">
        <v>257</v>
      </c>
      <c r="C19">
        <v>-67</v>
      </c>
      <c r="D19">
        <v>1655</v>
      </c>
    </row>
    <row r="20" spans="1:4" x14ac:dyDescent="0.3">
      <c r="A20">
        <v>4450</v>
      </c>
      <c r="B20">
        <v>310</v>
      </c>
      <c r="C20">
        <v>-68</v>
      </c>
      <c r="D20">
        <v>9</v>
      </c>
    </row>
    <row r="21" spans="1:4" x14ac:dyDescent="0.3">
      <c r="A21">
        <v>4400</v>
      </c>
      <c r="B21">
        <v>386</v>
      </c>
      <c r="C21">
        <v>-68.8</v>
      </c>
      <c r="D21">
        <v>7</v>
      </c>
    </row>
    <row r="22" spans="1:4" x14ac:dyDescent="0.3">
      <c r="A22">
        <v>4350</v>
      </c>
      <c r="B22">
        <v>474</v>
      </c>
      <c r="C22">
        <v>-69.8</v>
      </c>
      <c r="D22">
        <v>660</v>
      </c>
    </row>
    <row r="23" spans="1:4" x14ac:dyDescent="0.3">
      <c r="A23">
        <v>4300</v>
      </c>
      <c r="B23">
        <v>643</v>
      </c>
      <c r="C23">
        <v>-69</v>
      </c>
      <c r="D23">
        <v>9</v>
      </c>
    </row>
    <row r="24" spans="1:4" x14ac:dyDescent="0.3">
      <c r="A24">
        <v>4250</v>
      </c>
      <c r="B24">
        <v>1790</v>
      </c>
      <c r="C24">
        <v>34.200000000000003</v>
      </c>
      <c r="D24">
        <v>20.9</v>
      </c>
    </row>
    <row r="25" spans="1:4" x14ac:dyDescent="0.3">
      <c r="A25">
        <v>4200</v>
      </c>
      <c r="B25">
        <v>1100</v>
      </c>
      <c r="C25">
        <v>39.799999999999997</v>
      </c>
      <c r="D25">
        <v>15072</v>
      </c>
    </row>
    <row r="26" spans="1:4" x14ac:dyDescent="0.3">
      <c r="A26">
        <v>4250</v>
      </c>
      <c r="B26">
        <v>1770</v>
      </c>
      <c r="C26">
        <v>35</v>
      </c>
      <c r="D26">
        <v>40202</v>
      </c>
    </row>
    <row r="27" spans="1:4" x14ac:dyDescent="0.3">
      <c r="A27">
        <v>4300</v>
      </c>
      <c r="B27">
        <v>2260</v>
      </c>
      <c r="C27">
        <v>31.2</v>
      </c>
      <c r="D27">
        <v>39739</v>
      </c>
    </row>
    <row r="28" spans="1:4" x14ac:dyDescent="0.3">
      <c r="A28">
        <v>4350</v>
      </c>
      <c r="B28">
        <v>2750</v>
      </c>
      <c r="C28">
        <v>27.2</v>
      </c>
      <c r="D28">
        <v>33770</v>
      </c>
    </row>
    <row r="29" spans="1:4" x14ac:dyDescent="0.3">
      <c r="A29">
        <v>4400</v>
      </c>
      <c r="B29">
        <v>3150</v>
      </c>
      <c r="C29">
        <v>22</v>
      </c>
      <c r="D29">
        <v>30707</v>
      </c>
    </row>
    <row r="30" spans="1:4" x14ac:dyDescent="0.3">
      <c r="A30">
        <v>4450</v>
      </c>
      <c r="B30">
        <v>3650</v>
      </c>
      <c r="C30">
        <v>14.8</v>
      </c>
      <c r="D30">
        <v>27459</v>
      </c>
    </row>
    <row r="31" spans="1:4" x14ac:dyDescent="0.3">
      <c r="A31">
        <v>4500</v>
      </c>
      <c r="B31">
        <v>4010</v>
      </c>
      <c r="C31">
        <v>7.6</v>
      </c>
      <c r="D31">
        <v>3205</v>
      </c>
    </row>
    <row r="32" spans="1:4" x14ac:dyDescent="0.3">
      <c r="A32">
        <v>4510</v>
      </c>
      <c r="C32">
        <v>6</v>
      </c>
    </row>
    <row r="33" spans="1:4" x14ac:dyDescent="0.3">
      <c r="A33">
        <v>4520</v>
      </c>
      <c r="C33">
        <v>3.9</v>
      </c>
    </row>
    <row r="34" spans="1:4" x14ac:dyDescent="0.3">
      <c r="A34">
        <v>4530</v>
      </c>
      <c r="C34">
        <v>2.2000000000000002</v>
      </c>
    </row>
    <row r="35" spans="1:4" x14ac:dyDescent="0.3">
      <c r="A35">
        <v>4540</v>
      </c>
      <c r="C35">
        <v>1.1000000000000001</v>
      </c>
    </row>
    <row r="36" spans="1:4" x14ac:dyDescent="0.3">
      <c r="A36">
        <v>4550</v>
      </c>
      <c r="C36">
        <v>-0.7</v>
      </c>
    </row>
    <row r="37" spans="1:4" x14ac:dyDescent="0.3">
      <c r="A37">
        <v>4560</v>
      </c>
      <c r="C37">
        <v>-2.2000000000000002</v>
      </c>
    </row>
    <row r="38" spans="1:4" x14ac:dyDescent="0.3">
      <c r="A38">
        <v>4570</v>
      </c>
      <c r="C38">
        <v>-4</v>
      </c>
    </row>
    <row r="39" spans="1:4" x14ac:dyDescent="0.3">
      <c r="A39">
        <v>4550</v>
      </c>
      <c r="B39">
        <v>214</v>
      </c>
      <c r="C39">
        <v>-66.8</v>
      </c>
      <c r="D39">
        <v>37137</v>
      </c>
    </row>
    <row r="40" spans="1:4" x14ac:dyDescent="0.3">
      <c r="A40">
        <v>4600</v>
      </c>
      <c r="B40">
        <v>182</v>
      </c>
      <c r="C40">
        <v>-66.599999999999994</v>
      </c>
      <c r="D40">
        <v>5253</v>
      </c>
    </row>
    <row r="45" spans="1:4" x14ac:dyDescent="0.3">
      <c r="A45" t="s">
        <v>18</v>
      </c>
    </row>
    <row r="46" spans="1:4" x14ac:dyDescent="0.3">
      <c r="A46" t="s">
        <v>20</v>
      </c>
      <c r="B46">
        <v>215</v>
      </c>
      <c r="C46" t="s">
        <v>19</v>
      </c>
    </row>
    <row r="49" spans="1:6" x14ac:dyDescent="0.3">
      <c r="A49" s="1">
        <v>0.05</v>
      </c>
      <c r="B49">
        <f>B46*0.05</f>
        <v>10.75</v>
      </c>
      <c r="C49" t="s">
        <v>19</v>
      </c>
      <c r="D49" t="s">
        <v>21</v>
      </c>
      <c r="E49">
        <v>4480</v>
      </c>
      <c r="F49" t="s">
        <v>43</v>
      </c>
    </row>
    <row r="51" spans="1:6" x14ac:dyDescent="0.3">
      <c r="C51" t="s">
        <v>19</v>
      </c>
      <c r="E51" t="s">
        <v>28</v>
      </c>
    </row>
    <row r="52" spans="1:6" x14ac:dyDescent="0.3">
      <c r="A52" t="s">
        <v>23</v>
      </c>
      <c r="B52" t="s">
        <v>24</v>
      </c>
      <c r="C52">
        <v>-9.8000000000000007</v>
      </c>
      <c r="D52" t="s">
        <v>26</v>
      </c>
      <c r="E52">
        <v>-825</v>
      </c>
    </row>
    <row r="53" spans="1:6" x14ac:dyDescent="0.3">
      <c r="B53" t="s">
        <v>25</v>
      </c>
      <c r="C53">
        <v>3.4</v>
      </c>
      <c r="D53" t="s">
        <v>27</v>
      </c>
      <c r="E53">
        <v>-1425</v>
      </c>
    </row>
    <row r="55" spans="1:6" x14ac:dyDescent="0.3">
      <c r="D55" t="s">
        <v>29</v>
      </c>
      <c r="E55">
        <f>(E53-E52)/(C53-C52)</f>
        <v>-45.454545454545453</v>
      </c>
      <c r="F55" t="s">
        <v>31</v>
      </c>
    </row>
    <row r="57" spans="1:6" x14ac:dyDescent="0.3">
      <c r="A57" t="s">
        <v>30</v>
      </c>
    </row>
    <row r="58" spans="1:6" x14ac:dyDescent="0.3">
      <c r="A58" t="s">
        <v>32</v>
      </c>
      <c r="B58">
        <v>9.92</v>
      </c>
      <c r="C58" t="s">
        <v>34</v>
      </c>
    </row>
    <row r="60" spans="1:6" x14ac:dyDescent="0.3">
      <c r="A60" t="s">
        <v>33</v>
      </c>
      <c r="B60">
        <f>1/ABS(E55) *B58</f>
        <v>0.21824000000000002</v>
      </c>
      <c r="C60" t="s">
        <v>19</v>
      </c>
    </row>
    <row r="61" spans="1:6" x14ac:dyDescent="0.3">
      <c r="B61">
        <f>B60*1000</f>
        <v>218.24</v>
      </c>
      <c r="C61" t="s">
        <v>22</v>
      </c>
    </row>
    <row r="63" spans="1:6" x14ac:dyDescent="0.3">
      <c r="A63" t="s">
        <v>37</v>
      </c>
    </row>
    <row r="65" spans="1:6" x14ac:dyDescent="0.3">
      <c r="A65" t="s">
        <v>35</v>
      </c>
      <c r="B65" t="s">
        <v>36</v>
      </c>
    </row>
    <row r="66" spans="1:6" x14ac:dyDescent="0.3">
      <c r="A66" t="s">
        <v>38</v>
      </c>
      <c r="B66" t="s">
        <v>29</v>
      </c>
    </row>
    <row r="69" spans="1:6" x14ac:dyDescent="0.3">
      <c r="A69" t="s">
        <v>40</v>
      </c>
    </row>
    <row r="70" spans="1:6" x14ac:dyDescent="0.3">
      <c r="A70" t="s">
        <v>39</v>
      </c>
      <c r="B70" t="s">
        <v>41</v>
      </c>
    </row>
    <row r="74" spans="1:6" x14ac:dyDescent="0.3">
      <c r="A74" t="s">
        <v>42</v>
      </c>
    </row>
    <row r="76" spans="1:6" x14ac:dyDescent="0.3">
      <c r="A76" s="1">
        <v>0.05</v>
      </c>
      <c r="B76">
        <v>10.75</v>
      </c>
      <c r="C76" t="s">
        <v>19</v>
      </c>
      <c r="D76" t="s">
        <v>21</v>
      </c>
      <c r="E76">
        <v>4480</v>
      </c>
      <c r="F76" t="s">
        <v>43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Fuhrmann</dc:creator>
  <cp:lastModifiedBy>Heinrich Fuhrmann</cp:lastModifiedBy>
  <dcterms:created xsi:type="dcterms:W3CDTF">2026-05-07T11:45:33Z</dcterms:created>
  <dcterms:modified xsi:type="dcterms:W3CDTF">2026-05-07T15:39:18Z</dcterms:modified>
</cp:coreProperties>
</file>